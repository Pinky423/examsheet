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activeTab="3"/>
  </bookViews>
  <sheets>
    <sheet name="Raw data" sheetId="3" r:id="rId1"/>
    <sheet name="clean order data" sheetId="4" r:id="rId2"/>
    <sheet name="charts " sheetId="6" r:id="rId3"/>
    <sheet name="pivot table" sheetId="11" r:id="rId4"/>
    <sheet name="DASHBOARD" sheetId="8" r:id="rId5"/>
    <sheet name="documentation" sheetId="14" r:id="rId6"/>
  </sheets>
  <externalReferences>
    <externalReference r:id="rId12"/>
    <externalReference r:id="rId13"/>
  </externalReferences>
  <definedNames>
    <definedName name="Slicer_product_category">#N/A</definedName>
    <definedName name="Slicer_region">#N/A</definedName>
    <definedName name="Slicer_payment_method">#N/A</definedName>
    <definedName name="Slicer_revenue">#N/A</definedName>
    <definedName name="NativeTimeline_order_date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<sst xmlns="http://schemas.openxmlformats.org/spreadsheetml/2006/main" count="1751" uniqueCount="263">
  <si>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</si>
  <si>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</si>
  <si>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</si>
  <si>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</si>
  <si>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</si>
  <si>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</si>
  <si>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</si>
  <si>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</si>
  <si>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</si>
  <si>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</si>
  <si>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</si>
  <si>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</si>
  <si>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</si>
  <si>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</si>
  <si>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</si>
  <si>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</si>
  <si>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</si>
  <si>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</si>
  <si>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</si>
  <si>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</si>
  <si>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</si>
  <si>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</si>
  <si>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</si>
  <si>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Month</t>
  </si>
  <si>
    <t>Revenue Check</t>
  </si>
  <si>
    <t>Delivery Status</t>
  </si>
  <si>
    <t>Rating Band</t>
  </si>
  <si>
    <t>Customer Code</t>
  </si>
  <si>
    <t>Category Code</t>
  </si>
  <si>
    <t>CUST-1102</t>
  </si>
  <si>
    <t>CAT-BEAU</t>
  </si>
  <si>
    <t>CUST-1435</t>
  </si>
  <si>
    <t>CAT-CLOT</t>
  </si>
  <si>
    <t>CUST-1860</t>
  </si>
  <si>
    <t>CUST-1270</t>
  </si>
  <si>
    <t>CAT-ELEC</t>
  </si>
  <si>
    <t>CUST-1106</t>
  </si>
  <si>
    <t>CUST-1071</t>
  </si>
  <si>
    <t>CUST-1700</t>
  </si>
  <si>
    <t>CUST-1020</t>
  </si>
  <si>
    <t>CUST-1614</t>
  </si>
  <si>
    <t>CUST-1121</t>
  </si>
  <si>
    <t>CUST-1466</t>
  </si>
  <si>
    <t>CUST-1214</t>
  </si>
  <si>
    <t>CUST-1330</t>
  </si>
  <si>
    <t>CUST-1458</t>
  </si>
  <si>
    <t>CUST-1087</t>
  </si>
  <si>
    <t>CUST-1372</t>
  </si>
  <si>
    <t>CUST-1099</t>
  </si>
  <si>
    <t>CUST-1871</t>
  </si>
  <si>
    <t>CUST-1663</t>
  </si>
  <si>
    <t>CAT-HOME</t>
  </si>
  <si>
    <t>CUST-1130</t>
  </si>
  <si>
    <t>CUST-1661</t>
  </si>
  <si>
    <t>CUST-1308</t>
  </si>
  <si>
    <t>CUST-1769</t>
  </si>
  <si>
    <t>CUST-1343</t>
  </si>
  <si>
    <t>CUST-1491</t>
  </si>
  <si>
    <t>CUST-1413</t>
  </si>
  <si>
    <t>CUST-1805</t>
  </si>
  <si>
    <t>CUST-1385</t>
  </si>
  <si>
    <t>CUST-1191</t>
  </si>
  <si>
    <t>CUST-1955</t>
  </si>
  <si>
    <t>CUST-1276</t>
  </si>
  <si>
    <t>CUST-1160</t>
  </si>
  <si>
    <t>CUST-1459</t>
  </si>
  <si>
    <t>CUST-1313</t>
  </si>
  <si>
    <t>CUST-1021</t>
  </si>
  <si>
    <t>CUST-1252</t>
  </si>
  <si>
    <t>CUST-1747</t>
  </si>
  <si>
    <t>CUST-1856</t>
  </si>
  <si>
    <t>CUST-1560</t>
  </si>
  <si>
    <t>CUST-1474</t>
  </si>
  <si>
    <t>CUST-1058</t>
  </si>
  <si>
    <t>CUST-1510</t>
  </si>
  <si>
    <t>CUST-1681</t>
  </si>
  <si>
    <t>CUST-1475</t>
  </si>
  <si>
    <t>CUST-1699</t>
  </si>
  <si>
    <t>CUST-1975</t>
  </si>
  <si>
    <t>CUST-1782</t>
  </si>
  <si>
    <t>CUST-1189</t>
  </si>
  <si>
    <t>CUST-1957</t>
  </si>
  <si>
    <t>CUST-1686</t>
  </si>
  <si>
    <t>CUST-1562</t>
  </si>
  <si>
    <t>CUST-1875</t>
  </si>
  <si>
    <t>CUST-1566</t>
  </si>
  <si>
    <t>CUST-1243</t>
  </si>
  <si>
    <t>CUST-1831</t>
  </si>
  <si>
    <t>CUST-1504</t>
  </si>
  <si>
    <t>CUST-1484</t>
  </si>
  <si>
    <t>CUST-1818</t>
  </si>
  <si>
    <t>CUST-1646</t>
  </si>
  <si>
    <t>CUST-1840</t>
  </si>
  <si>
    <t>CUST-1166</t>
  </si>
  <si>
    <t>CUST-1273</t>
  </si>
  <si>
    <t>CUST-1387</t>
  </si>
  <si>
    <t>CUST-1600</t>
  </si>
  <si>
    <t>CUST-1315</t>
  </si>
  <si>
    <t>CUST-1013</t>
  </si>
  <si>
    <t>CUST-1241</t>
  </si>
  <si>
    <t>CUST-1776</t>
  </si>
  <si>
    <t>CUST-1345</t>
  </si>
  <si>
    <t>CUST-1564</t>
  </si>
  <si>
    <t>CUST-1897</t>
  </si>
  <si>
    <t>CUST-1339</t>
  </si>
  <si>
    <t>CUST-1091</t>
  </si>
  <si>
    <t>CUST-1366</t>
  </si>
  <si>
    <t>CUST-1454</t>
  </si>
  <si>
    <t>CUST-1427</t>
  </si>
  <si>
    <t>CUST-1508</t>
  </si>
  <si>
    <t>CUST-1775</t>
  </si>
  <si>
    <t>CUST-1942</t>
  </si>
  <si>
    <t>CUST-1034</t>
  </si>
  <si>
    <t>CUST-1205</t>
  </si>
  <si>
    <t>CUST-1080</t>
  </si>
  <si>
    <t>CUST-1931</t>
  </si>
  <si>
    <t>CUST-1561</t>
  </si>
  <si>
    <t>CUST-1001</t>
  </si>
  <si>
    <t>CUST-1389</t>
  </si>
  <si>
    <t>CUST-1565</t>
  </si>
  <si>
    <t>CUST-1105</t>
  </si>
  <si>
    <t>CUST-1771</t>
  </si>
  <si>
    <t>CUST-1821</t>
  </si>
  <si>
    <t>CUST-1476</t>
  </si>
  <si>
    <t>CUST-1702</t>
  </si>
  <si>
    <t>CUST-1401</t>
  </si>
  <si>
    <t>CUST-1729</t>
  </si>
  <si>
    <t>CUST-1555</t>
  </si>
  <si>
    <t>CUST-1161</t>
  </si>
  <si>
    <t>CUST-1201</t>
  </si>
  <si>
    <t>CUST-1995</t>
  </si>
  <si>
    <t>CUST-1269</t>
  </si>
  <si>
    <t>CUST-1862</t>
  </si>
  <si>
    <t>CUST-1815</t>
  </si>
  <si>
    <t>CUST-1455</t>
  </si>
  <si>
    <t>CUST-1461</t>
  </si>
  <si>
    <t>CUST-1726</t>
  </si>
  <si>
    <t>CUST-1251</t>
  </si>
  <si>
    <t>CUST-1701</t>
  </si>
  <si>
    <t>CUST-1295</t>
  </si>
  <si>
    <t>CUST-1724</t>
  </si>
  <si>
    <t>CUST-1719</t>
  </si>
  <si>
    <t>CUST-1748</t>
  </si>
  <si>
    <t>CUST-1337</t>
  </si>
  <si>
    <t>CUST-1878</t>
  </si>
  <si>
    <t>CUST-1052</t>
  </si>
  <si>
    <t>CUST-1791</t>
  </si>
  <si>
    <t>CUST-1921</t>
  </si>
  <si>
    <t>CUST-1216</t>
  </si>
  <si>
    <t>CUST-1763</t>
  </si>
  <si>
    <t>CUST-1187</t>
  </si>
  <si>
    <t>CUST-1379</t>
  </si>
  <si>
    <t>CUST-1492</t>
  </si>
  <si>
    <t>CUST-1040</t>
  </si>
  <si>
    <t>CUST-1156</t>
  </si>
  <si>
    <t>CUST-1014</t>
  </si>
  <si>
    <t>CUST-1812</t>
  </si>
  <si>
    <t>CUST-1064</t>
  </si>
  <si>
    <t>CUST-1838</t>
  </si>
  <si>
    <t>CUST-1520</t>
  </si>
  <si>
    <t>CUST-1128</t>
  </si>
  <si>
    <t>CUST-1647</t>
  </si>
  <si>
    <t>CUST-1471</t>
  </si>
  <si>
    <t>CUST-1062</t>
  </si>
  <si>
    <t>CUST-1138</t>
  </si>
  <si>
    <t>CUST-1498</t>
  </si>
  <si>
    <t>CUST-1592</t>
  </si>
  <si>
    <t>CUST-1391</t>
  </si>
  <si>
    <t>CUST-1674</t>
  </si>
  <si>
    <t>CUST-1418</t>
  </si>
  <si>
    <t>CUST-1288</t>
  </si>
  <si>
    <t>CUST-1378</t>
  </si>
  <si>
    <t>CUST-1772</t>
  </si>
  <si>
    <t>CUST-1489</t>
  </si>
  <si>
    <t>CUST-1230</t>
  </si>
  <si>
    <t>CUST-1027</t>
  </si>
  <si>
    <t>CUST-1134</t>
  </si>
  <si>
    <t>CUST-1200</t>
  </si>
  <si>
    <t>CUST-1839</t>
  </si>
  <si>
    <t>CUST-1779</t>
  </si>
  <si>
    <t>CUST-1929</t>
  </si>
  <si>
    <t>CUST-1032</t>
  </si>
  <si>
    <t>CUST-1047</t>
  </si>
  <si>
    <t>CUST-1502</t>
  </si>
  <si>
    <t>CUST-1406</t>
  </si>
  <si>
    <t>CUST-1573</t>
  </si>
  <si>
    <t>CUST-1727</t>
  </si>
  <si>
    <t>CUST-1804</t>
  </si>
  <si>
    <t>CUST-1098</t>
  </si>
  <si>
    <t>CUST-1683</t>
  </si>
  <si>
    <t>CUST-1725</t>
  </si>
  <si>
    <t>CUST-1986</t>
  </si>
  <si>
    <t>CUST-1546</t>
  </si>
  <si>
    <t>CUST-1960</t>
  </si>
  <si>
    <t>CUST-1738</t>
  </si>
  <si>
    <t>CUST-1612</t>
  </si>
  <si>
    <t>CUST-1642</t>
  </si>
  <si>
    <t>CUST-1768</t>
  </si>
  <si>
    <t>CUST-1004</t>
  </si>
  <si>
    <t>CUST-1217</t>
  </si>
  <si>
    <t>CUST-1766</t>
  </si>
  <si>
    <t>CUST-1397</t>
  </si>
  <si>
    <t>CUST-1870</t>
  </si>
  <si>
    <t>CUST-1794</t>
  </si>
  <si>
    <t>CUST-1392</t>
  </si>
  <si>
    <t>CUST-1206</t>
  </si>
  <si>
    <t>CUST-1857</t>
  </si>
  <si>
    <t>CUST-1553</t>
  </si>
  <si>
    <t>CUST-1891</t>
  </si>
  <si>
    <t>CUST-1460</t>
  </si>
  <si>
    <t>CUST-1690</t>
  </si>
  <si>
    <t>CUST-1574</t>
  </si>
  <si>
    <t>CUST-1863</t>
  </si>
  <si>
    <t>CUST-1742</t>
  </si>
  <si>
    <t>CUST-1240</t>
  </si>
  <si>
    <t>CUST-1563</t>
  </si>
  <si>
    <t>CUST-1095</t>
  </si>
  <si>
    <t>CUST-1899</t>
  </si>
  <si>
    <t>CUST-1733</t>
  </si>
  <si>
    <t>CUST-1654</t>
  </si>
  <si>
    <t>CUST-1170</t>
  </si>
  <si>
    <t>CUST-1540</t>
  </si>
  <si>
    <t>Row Labels</t>
  </si>
  <si>
    <t>Sum of revenue</t>
  </si>
  <si>
    <t>Sum of delivery_days</t>
  </si>
  <si>
    <t>Sum of unit_price</t>
  </si>
  <si>
    <t>Grand Total</t>
  </si>
  <si>
    <t>SALES PERFORMANCE DASHBOARD</t>
  </si>
  <si>
    <t>Total Revenue</t>
  </si>
  <si>
    <t>Orders</t>
  </si>
  <si>
    <t>Quantity Sold</t>
  </si>
  <si>
    <t>Avg Rating</t>
  </si>
  <si>
    <t>Avg Delivery Days</t>
  </si>
  <si>
    <t>Sr. No.</t>
  </si>
  <si>
    <t>Topic</t>
  </si>
  <si>
    <t>Work Done</t>
  </si>
  <si>
    <t>Sheet</t>
  </si>
  <si>
    <t>Data Cleaning</t>
  </si>
  <si>
    <t>Cleaned data and standardized dates.</t>
  </si>
  <si>
    <t>Data</t>
  </si>
  <si>
    <t>Data Validation</t>
  </si>
  <si>
    <t>Created dropdown lists for Category, Region and Payment.</t>
  </si>
  <si>
    <t>Dashboard</t>
  </si>
  <si>
    <t>VLOOKUP</t>
  </si>
  <si>
    <t>Retrieved Customer Code using Customer ID.</t>
  </si>
  <si>
    <t>INDEX + MATCH</t>
  </si>
  <si>
    <t>Retrieved Category Code.</t>
  </si>
  <si>
    <t>IF / Nested IF</t>
  </si>
  <si>
    <t>Created Delivery Status and Rating Band.</t>
  </si>
  <si>
    <t>SUMIFS / COUNTIFS</t>
  </si>
  <si>
    <t>Analyzed revenue and order count.</t>
  </si>
  <si>
    <t>Formula Checks</t>
  </si>
  <si>
    <t>AVERAGEIFS</t>
  </si>
  <si>
    <t>Calculated average rating by region.</t>
  </si>
  <si>
    <t>Pivot Analysis</t>
  </si>
  <si>
    <t>Created category, region, payment and monthly summaries.</t>
  </si>
  <si>
    <t>Pivot Tables</t>
  </si>
  <si>
    <t>Created KPIs, filters and charts.</t>
  </si>
  <si>
    <t>Revenue Validation</t>
  </si>
  <si>
    <t>Verified revenue calculations.</t>
  </si>
  <si>
    <t>Final Documentation</t>
  </si>
  <si>
    <t>Documented the complete project workflow.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</si>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</sst>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"/>
    <numFmt numFmtId="181" formatCode="yyyy/mm/dd"/>
    <numFmt numFmtId="182" formatCode="0.0"/>
    <numFmt numFmtId="183" formatCode="dd/mm/yyyy"/>
  </numFmts>
  <fonts count="27">
    <font>
      <sz val="11"/>
      <color theme="1"/>
      <name val="Calibri"/>
      <charset val="134"/>
      <scheme val="minor"/>
    </font>
    <font>
      <b/>
      <sz val="11"/>
      <color theme="2" tint="-0.899990844447157"/>
      <name val="Calibri"/>
      <charset val="134"/>
      <scheme val="minor"/>
    </font>
    <font>
      <sz val="11"/>
      <color theme="2" tint="-0.899990844447157"/>
      <name val="Calibri"/>
      <charset val="134"/>
      <scheme val="minor"/>
    </font>
    <font>
      <b/>
      <sz val="18"/>
      <color indexed="9"/>
      <name val="Cambria"/>
      <charset val="134"/>
    </font>
    <font>
      <sz val="11"/>
      <color indexed="8"/>
      <name val="Calibri"/>
      <charset val="134"/>
    </font>
    <font>
      <b/>
      <sz val="11"/>
      <color indexed="9"/>
      <name val="Cambria"/>
      <charset val="134"/>
    </font>
    <font>
      <b/>
      <sz val="18"/>
      <color indexed="63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9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80" fontId="6" fillId="4" borderId="4" xfId="0" applyNumberFormat="1" applyFont="1" applyFill="1" applyBorder="1" applyAlignment="1">
      <alignment horizontal="center" vertical="center"/>
    </xf>
    <xf numFmtId="180" fontId="6" fillId="4" borderId="5" xfId="0" applyNumberFormat="1" applyFont="1" applyFill="1" applyBorder="1" applyAlignment="1">
      <alignment horizontal="center" vertical="center"/>
    </xf>
    <xf numFmtId="180" fontId="6" fillId="4" borderId="6" xfId="0" applyNumberFormat="1" applyFont="1" applyFill="1" applyBorder="1" applyAlignment="1">
      <alignment horizontal="center" vertical="center"/>
    </xf>
    <xf numFmtId="3" fontId="6" fillId="4" borderId="4" xfId="0" applyNumberFormat="1" applyFont="1" applyFill="1" applyBorder="1" applyAlignment="1">
      <alignment horizontal="center" vertical="center"/>
    </xf>
    <xf numFmtId="3" fontId="6" fillId="4" borderId="5" xfId="0" applyNumberFormat="1" applyFont="1" applyFill="1" applyBorder="1" applyAlignment="1">
      <alignment horizontal="center" vertical="center"/>
    </xf>
    <xf numFmtId="3" fontId="6" fillId="4" borderId="6" xfId="0" applyNumberFormat="1" applyFont="1" applyFill="1" applyBorder="1" applyAlignment="1">
      <alignment horizontal="center" vertical="center"/>
    </xf>
    <xf numFmtId="2" fontId="6" fillId="4" borderId="4" xfId="0" applyNumberFormat="1" applyFont="1" applyFill="1" applyBorder="1" applyAlignment="1">
      <alignment horizontal="center" vertical="center"/>
    </xf>
    <xf numFmtId="2" fontId="6" fillId="4" borderId="5" xfId="0" applyNumberFormat="1" applyFont="1" applyFill="1" applyBorder="1" applyAlignment="1">
      <alignment horizontal="center" vertical="center"/>
    </xf>
    <xf numFmtId="2" fontId="6" fillId="4" borderId="6" xfId="0" applyNumberFormat="1" applyFont="1" applyFill="1" applyBorder="1" applyAlignment="1">
      <alignment horizontal="center" vertical="center"/>
    </xf>
    <xf numFmtId="180" fontId="6" fillId="4" borderId="7" xfId="0" applyNumberFormat="1" applyFont="1" applyFill="1" applyBorder="1" applyAlignment="1">
      <alignment horizontal="center" vertical="center"/>
    </xf>
    <xf numFmtId="180" fontId="6" fillId="4" borderId="8" xfId="0" applyNumberFormat="1" applyFont="1" applyFill="1" applyBorder="1" applyAlignment="1">
      <alignment horizontal="center" vertical="center"/>
    </xf>
    <xf numFmtId="180" fontId="6" fillId="4" borderId="9" xfId="0" applyNumberFormat="1" applyFont="1" applyFill="1" applyBorder="1" applyAlignment="1">
      <alignment horizontal="center" vertical="center"/>
    </xf>
    <xf numFmtId="3" fontId="6" fillId="4" borderId="7" xfId="0" applyNumberFormat="1" applyFont="1" applyFill="1" applyBorder="1" applyAlignment="1">
      <alignment horizontal="center" vertical="center"/>
    </xf>
    <xf numFmtId="3" fontId="6" fillId="4" borderId="8" xfId="0" applyNumberFormat="1" applyFont="1" applyFill="1" applyBorder="1" applyAlignment="1">
      <alignment horizontal="center" vertical="center"/>
    </xf>
    <xf numFmtId="3" fontId="6" fillId="4" borderId="9" xfId="0" applyNumberFormat="1" applyFont="1" applyFill="1" applyBorder="1" applyAlignment="1">
      <alignment horizontal="center" vertical="center"/>
    </xf>
    <xf numFmtId="2" fontId="6" fillId="4" borderId="7" xfId="0" applyNumberFormat="1" applyFont="1" applyFill="1" applyBorder="1" applyAlignment="1">
      <alignment horizontal="center" vertical="center"/>
    </xf>
    <xf numFmtId="2" fontId="6" fillId="4" borderId="8" xfId="0" applyNumberFormat="1" applyFont="1" applyFill="1" applyBorder="1" applyAlignment="1">
      <alignment horizontal="center" vertical="center"/>
    </xf>
    <xf numFmtId="2" fontId="6" fillId="4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5" borderId="1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181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left"/>
    </xf>
    <xf numFmtId="9" fontId="4" fillId="0" borderId="0" xfId="0" applyNumberFormat="1" applyFont="1" applyAlignment="1">
      <alignment horizontal="left"/>
    </xf>
    <xf numFmtId="182" fontId="4" fillId="0" borderId="0" xfId="0" applyNumberFormat="1" applyFont="1" applyAlignment="1">
      <alignment horizontal="left"/>
    </xf>
    <xf numFmtId="183" fontId="2" fillId="0" borderId="0" xfId="0" applyNumberFormat="1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4">
    <dxf>
      <font>
        <name val="Calibri"/>
        <scheme val="none"/>
        <family val="2"/>
        <strike val="0"/>
        <u val="none"/>
        <sz val="11"/>
        <color theme="2" tint="-0.899990844447157"/>
      </font>
      <alignment horizontal="left" vertical="center" wrapText="1"/>
    </dxf>
    <dxf>
      <font>
        <name val="Calibri"/>
        <scheme val="none"/>
        <family val="2"/>
        <strike val="0"/>
        <u val="none"/>
        <sz val="11"/>
        <color theme="2" tint="-0.899990844447157"/>
      </font>
      <numFmt numFmtId="183" formatCode="dd/mm/yyyy"/>
      <alignment horizontal="left" vertical="center" wrapText="1"/>
    </dxf>
    <dxf>
      <font>
        <name val="Calibri"/>
        <scheme val="none"/>
        <family val="2"/>
        <strike val="0"/>
        <u val="none"/>
        <sz val="11"/>
        <color theme="2" tint="-0.899990844447157"/>
      </font>
      <alignment horizontal="left" vertical="center" wrapText="1"/>
    </dxf>
    <dxf>
      <font>
        <name val="Calibri"/>
        <scheme val="none"/>
        <family val="2"/>
        <strike val="0"/>
        <u val="none"/>
        <sz val="11"/>
        <color theme="2" tint="-0.899990844447157"/>
      </font>
      <alignment horizontal="left" vertical="center" wrapText="1"/>
    </dxf>
    <dxf>
      <font>
        <name val="Calibri"/>
        <scheme val="none"/>
        <family val="2"/>
        <strike val="0"/>
        <u val="none"/>
        <sz val="11"/>
        <color theme="2" tint="-0.899990844447157"/>
      </font>
      <alignment horizontal="left" vertical="center" wrapText="1"/>
    </dxf>
    <dxf>
      <font>
        <name val="Calibri"/>
        <scheme val="none"/>
        <family val="2"/>
        <strike val="0"/>
        <u val="none"/>
        <sz val="11"/>
        <color theme="2" tint="-0.899990844447157"/>
      </font>
      <alignment horizontal="left" vertical="center" wrapText="1"/>
    </dxf>
    <dxf>
      <font>
        <name val="Calibri"/>
        <scheme val="none"/>
        <family val="2"/>
        <strike val="0"/>
        <u val="none"/>
        <sz val="11"/>
        <color theme="2" tint="-0.899990844447157"/>
      </font>
      <alignment horizontal="left" vertical="center" wrapText="1"/>
    </dxf>
    <dxf>
      <font>
        <name val="Calibri"/>
        <scheme val="none"/>
        <family val="2"/>
        <strike val="0"/>
        <u val="none"/>
        <sz val="11"/>
        <color theme="2" tint="-0.899990844447157"/>
      </font>
      <alignment horizontal="left" vertical="center" wrapText="1"/>
    </dxf>
    <dxf>
      <font>
        <name val="Calibri"/>
        <scheme val="none"/>
        <family val="2"/>
        <strike val="0"/>
        <u val="none"/>
        <sz val="11"/>
        <color theme="2" tint="-0.899990844447157"/>
      </font>
      <alignment horizontal="left" vertical="center" wrapText="1"/>
    </dxf>
    <dxf>
      <font>
        <name val="Calibri"/>
        <scheme val="none"/>
        <family val="2"/>
        <strike val="0"/>
        <u val="none"/>
        <sz val="11"/>
        <color theme="2" tint="-0.899990844447157"/>
      </font>
      <alignment horizontal="left" vertical="center" wrapText="1"/>
    </dxf>
    <dxf>
      <font>
        <name val="Calibri"/>
        <scheme val="none"/>
        <family val="2"/>
        <strike val="0"/>
        <u val="none"/>
        <sz val="11"/>
        <color theme="2" tint="-0.899990844447157"/>
      </font>
      <alignment horizontal="left" vertical="center" wrapText="1"/>
    </dxf>
    <dxf>
      <font>
        <name val="Calibri"/>
        <scheme val="none"/>
        <family val="2"/>
        <strike val="0"/>
        <u val="none"/>
        <sz val="11"/>
        <color theme="2" tint="-0.899990844447157"/>
      </font>
      <alignment horizontal="left" vertical="center" wrapText="1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181" formatCode="yyyy/mm/dd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4" formatCode="#,##0.00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9" formatCode="0%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4" formatCode="#,##0.00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182" formatCode="0.0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4" formatCode="#,##0.00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horizontal="left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alignment horizontal="left"/>
    </dxf>
    <dxf>
      <font>
        <name val="Calibri"/>
        <scheme val="none"/>
        <family val="2"/>
        <strike val="0"/>
        <u val="none"/>
        <sz val="11"/>
        <color theme="2" tint="-0.899990844447157"/>
      </font>
      <alignment horizontal="left" vertical="center" wrapText="1"/>
    </dxf>
    <dxf>
      <font>
        <name val="Calibri"/>
        <scheme val="none"/>
        <family val="2"/>
        <strike val="0"/>
        <u val="none"/>
        <sz val="11"/>
        <color theme="2" tint="-0.899990844447157"/>
      </font>
      <alignment horizontal="left" vertical="center" wrapText="1"/>
    </dxf>
    <dxf>
      <font>
        <name val="Calibri"/>
        <scheme val="none"/>
        <family val="2"/>
        <strike val="0"/>
        <u val="none"/>
        <sz val="11"/>
        <color theme="2" tint="-0.899990844447157"/>
      </font>
      <alignment horizontal="left" vertical="center" wrapText="1"/>
    </dxf>
    <dxf>
      <font>
        <name val="Calibri"/>
        <scheme val="none"/>
        <family val="2"/>
        <strike val="0"/>
        <u val="none"/>
        <sz val="11"/>
        <color theme="2" tint="-0.899990844447157"/>
      </font>
      <alignment horizontal="left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data'!$L$1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'Raw data'!$L$2:$L$209</c:f>
              <c:numCache>
                <c:formatCode>General</c:formatCode>
                <c:ptCount val="208"/>
                <c:pt idx="0">
                  <c:v>1883.2</c:v>
                </c:pt>
                <c:pt idx="1">
                  <c:v>304.1</c:v>
                </c:pt>
                <c:pt idx="2">
                  <c:v>644.35</c:v>
                </c:pt>
                <c:pt idx="3">
                  <c:v>2569.9</c:v>
                </c:pt>
                <c:pt idx="4">
                  <c:v>468.56</c:v>
                </c:pt>
                <c:pt idx="5">
                  <c:v>423.1</c:v>
                </c:pt>
                <c:pt idx="6">
                  <c:v>2608.45</c:v>
                </c:pt>
                <c:pt idx="7">
                  <c:v>1387.01</c:v>
                </c:pt>
                <c:pt idx="8">
                  <c:v>983.97</c:v>
                </c:pt>
                <c:pt idx="9">
                  <c:v>1025.39</c:v>
                </c:pt>
                <c:pt idx="10">
                  <c:v>1875.01</c:v>
                </c:pt>
                <c:pt idx="11">
                  <c:v>992.55</c:v>
                </c:pt>
                <c:pt idx="12">
                  <c:v>2368.71</c:v>
                </c:pt>
                <c:pt idx="13">
                  <c:v>1447.71</c:v>
                </c:pt>
                <c:pt idx="14">
                  <c:v>1617.79</c:v>
                </c:pt>
                <c:pt idx="15">
                  <c:v>523.57</c:v>
                </c:pt>
                <c:pt idx="16">
                  <c:v>607.08</c:v>
                </c:pt>
                <c:pt idx="17">
                  <c:v>1987.5</c:v>
                </c:pt>
                <c:pt idx="18">
                  <c:v>939.32</c:v>
                </c:pt>
                <c:pt idx="19">
                  <c:v>1840.47</c:v>
                </c:pt>
                <c:pt idx="20">
                  <c:v>40.42</c:v>
                </c:pt>
                <c:pt idx="21">
                  <c:v>150.98</c:v>
                </c:pt>
                <c:pt idx="22">
                  <c:v>251.02</c:v>
                </c:pt>
                <c:pt idx="23">
                  <c:v>138.86</c:v>
                </c:pt>
                <c:pt idx="24">
                  <c:v>1423.15</c:v>
                </c:pt>
                <c:pt idx="25">
                  <c:v>140.49</c:v>
                </c:pt>
                <c:pt idx="26">
                  <c:v>2559.59</c:v>
                </c:pt>
                <c:pt idx="27">
                  <c:v>1024.78</c:v>
                </c:pt>
                <c:pt idx="28">
                  <c:v>1048.56</c:v>
                </c:pt>
                <c:pt idx="29">
                  <c:v>1670.96</c:v>
                </c:pt>
                <c:pt idx="30">
                  <c:v>678.34</c:v>
                </c:pt>
                <c:pt idx="31">
                  <c:v>2715.34</c:v>
                </c:pt>
                <c:pt idx="32">
                  <c:v>354.57</c:v>
                </c:pt>
                <c:pt idx="33">
                  <c:v>200.72</c:v>
                </c:pt>
                <c:pt idx="34">
                  <c:v>829.29</c:v>
                </c:pt>
                <c:pt idx="35">
                  <c:v>1471.06</c:v>
                </c:pt>
                <c:pt idx="36">
                  <c:v>485.49</c:v>
                </c:pt>
                <c:pt idx="37">
                  <c:v>1081.12</c:v>
                </c:pt>
                <c:pt idx="38">
                  <c:v>317.03</c:v>
                </c:pt>
                <c:pt idx="39">
                  <c:v>3640.56</c:v>
                </c:pt>
                <c:pt idx="40">
                  <c:v>1440.47</c:v>
                </c:pt>
                <c:pt idx="41">
                  <c:v>835.44</c:v>
                </c:pt>
                <c:pt idx="42">
                  <c:v>1581.23</c:v>
                </c:pt>
                <c:pt idx="43">
                  <c:v>15.52</c:v>
                </c:pt>
                <c:pt idx="44">
                  <c:v>93.48</c:v>
                </c:pt>
                <c:pt idx="45">
                  <c:v>2534.44</c:v>
                </c:pt>
                <c:pt idx="46">
                  <c:v>458.28</c:v>
                </c:pt>
                <c:pt idx="47">
                  <c:v>40.95</c:v>
                </c:pt>
                <c:pt idx="48">
                  <c:v>774.8</c:v>
                </c:pt>
                <c:pt idx="49">
                  <c:v>375.26</c:v>
                </c:pt>
                <c:pt idx="50">
                  <c:v>2663.13</c:v>
                </c:pt>
                <c:pt idx="51">
                  <c:v>323.2</c:v>
                </c:pt>
                <c:pt idx="52">
                  <c:v>146.31</c:v>
                </c:pt>
                <c:pt idx="53">
                  <c:v>303.22</c:v>
                </c:pt>
                <c:pt idx="54">
                  <c:v>1737.34</c:v>
                </c:pt>
                <c:pt idx="55">
                  <c:v>481.94</c:v>
                </c:pt>
                <c:pt idx="56">
                  <c:v>302.02</c:v>
                </c:pt>
                <c:pt idx="57">
                  <c:v>1910.37</c:v>
                </c:pt>
                <c:pt idx="58">
                  <c:v>2796.31</c:v>
                </c:pt>
                <c:pt idx="59">
                  <c:v>83.48</c:v>
                </c:pt>
                <c:pt idx="60">
                  <c:v>167.18</c:v>
                </c:pt>
                <c:pt idx="61">
                  <c:v>675.44</c:v>
                </c:pt>
                <c:pt idx="62">
                  <c:v>317.38</c:v>
                </c:pt>
                <c:pt idx="63">
                  <c:v>617.35</c:v>
                </c:pt>
                <c:pt idx="64">
                  <c:v>1791.05</c:v>
                </c:pt>
                <c:pt idx="65">
                  <c:v>208.68</c:v>
                </c:pt>
                <c:pt idx="66">
                  <c:v>3089.76</c:v>
                </c:pt>
                <c:pt idx="67">
                  <c:v>1120.02</c:v>
                </c:pt>
                <c:pt idx="68">
                  <c:v>1813.58</c:v>
                </c:pt>
                <c:pt idx="69">
                  <c:v>3338.37</c:v>
                </c:pt>
                <c:pt idx="70">
                  <c:v>13.01</c:v>
                </c:pt>
                <c:pt idx="71">
                  <c:v>644.67</c:v>
                </c:pt>
                <c:pt idx="72">
                  <c:v>87.38</c:v>
                </c:pt>
                <c:pt idx="73">
                  <c:v>983.86</c:v>
                </c:pt>
                <c:pt idx="74">
                  <c:v>222.79</c:v>
                </c:pt>
                <c:pt idx="75">
                  <c:v>349.51</c:v>
                </c:pt>
                <c:pt idx="76">
                  <c:v>64.4</c:v>
                </c:pt>
                <c:pt idx="77">
                  <c:v>897.56</c:v>
                </c:pt>
                <c:pt idx="78">
                  <c:v>1322.19</c:v>
                </c:pt>
                <c:pt idx="79">
                  <c:v>1841.13</c:v>
                </c:pt>
                <c:pt idx="80">
                  <c:v>2743.44</c:v>
                </c:pt>
                <c:pt idx="81">
                  <c:v>1220.3</c:v>
                </c:pt>
                <c:pt idx="82">
                  <c:v>85.8</c:v>
                </c:pt>
                <c:pt idx="83">
                  <c:v>450.43</c:v>
                </c:pt>
                <c:pt idx="84">
                  <c:v>129.26</c:v>
                </c:pt>
                <c:pt idx="85">
                  <c:v>945.17</c:v>
                </c:pt>
                <c:pt idx="86">
                  <c:v>1211.07</c:v>
                </c:pt>
                <c:pt idx="87">
                  <c:v>14.42</c:v>
                </c:pt>
                <c:pt idx="88">
                  <c:v>752.69</c:v>
                </c:pt>
                <c:pt idx="89">
                  <c:v>3107.91</c:v>
                </c:pt>
                <c:pt idx="90">
                  <c:v>1165.58</c:v>
                </c:pt>
                <c:pt idx="91">
                  <c:v>436.6</c:v>
                </c:pt>
                <c:pt idx="92">
                  <c:v>455.07</c:v>
                </c:pt>
                <c:pt idx="93">
                  <c:v>798.89</c:v>
                </c:pt>
                <c:pt idx="94">
                  <c:v>504.17</c:v>
                </c:pt>
                <c:pt idx="95">
                  <c:v>317.77</c:v>
                </c:pt>
                <c:pt idx="96">
                  <c:v>626.31</c:v>
                </c:pt>
                <c:pt idx="97">
                  <c:v>3214.19</c:v>
                </c:pt>
                <c:pt idx="98">
                  <c:v>804.53</c:v>
                </c:pt>
                <c:pt idx="99">
                  <c:v>2930.38</c:v>
                </c:pt>
                <c:pt idx="100">
                  <c:v>1598.44</c:v>
                </c:pt>
                <c:pt idx="101">
                  <c:v>1132.34</c:v>
                </c:pt>
                <c:pt idx="102">
                  <c:v>3449.5</c:v>
                </c:pt>
                <c:pt idx="103">
                  <c:v>590.2</c:v>
                </c:pt>
                <c:pt idx="104">
                  <c:v>2850.78</c:v>
                </c:pt>
                <c:pt idx="105">
                  <c:v>2577.06</c:v>
                </c:pt>
                <c:pt idx="106">
                  <c:v>274.75</c:v>
                </c:pt>
                <c:pt idx="107">
                  <c:v>1021.84</c:v>
                </c:pt>
                <c:pt idx="108">
                  <c:v>82.35</c:v>
                </c:pt>
                <c:pt idx="109">
                  <c:v>64.53</c:v>
                </c:pt>
                <c:pt idx="110">
                  <c:v>96.72</c:v>
                </c:pt>
                <c:pt idx="111">
                  <c:v>606.67</c:v>
                </c:pt>
                <c:pt idx="112">
                  <c:v>492.09</c:v>
                </c:pt>
                <c:pt idx="113">
                  <c:v>158.58</c:v>
                </c:pt>
                <c:pt idx="114">
                  <c:v>704</c:v>
                </c:pt>
                <c:pt idx="115">
                  <c:v>783.03</c:v>
                </c:pt>
                <c:pt idx="116">
                  <c:v>265.14</c:v>
                </c:pt>
                <c:pt idx="117">
                  <c:v>28.64</c:v>
                </c:pt>
                <c:pt idx="118">
                  <c:v>1645.23</c:v>
                </c:pt>
                <c:pt idx="119">
                  <c:v>1106.58</c:v>
                </c:pt>
                <c:pt idx="120">
                  <c:v>1236.69</c:v>
                </c:pt>
                <c:pt idx="121">
                  <c:v>2000.26</c:v>
                </c:pt>
                <c:pt idx="122">
                  <c:v>2690.63</c:v>
                </c:pt>
                <c:pt idx="123">
                  <c:v>429.62</c:v>
                </c:pt>
                <c:pt idx="124">
                  <c:v>1345.67</c:v>
                </c:pt>
                <c:pt idx="125">
                  <c:v>2887.11</c:v>
                </c:pt>
                <c:pt idx="126">
                  <c:v>3472.39</c:v>
                </c:pt>
                <c:pt idx="127">
                  <c:v>924.73</c:v>
                </c:pt>
                <c:pt idx="128">
                  <c:v>1192.17</c:v>
                </c:pt>
                <c:pt idx="129">
                  <c:v>415.06</c:v>
                </c:pt>
                <c:pt idx="130">
                  <c:v>1628.82</c:v>
                </c:pt>
                <c:pt idx="131">
                  <c:v>2332.76</c:v>
                </c:pt>
                <c:pt idx="132">
                  <c:v>1279.2</c:v>
                </c:pt>
                <c:pt idx="133">
                  <c:v>2119.15</c:v>
                </c:pt>
                <c:pt idx="134">
                  <c:v>364.74</c:v>
                </c:pt>
                <c:pt idx="135">
                  <c:v>1276.55</c:v>
                </c:pt>
                <c:pt idx="136">
                  <c:v>265.38</c:v>
                </c:pt>
                <c:pt idx="137">
                  <c:v>150.97</c:v>
                </c:pt>
                <c:pt idx="138">
                  <c:v>1103.41</c:v>
                </c:pt>
                <c:pt idx="139">
                  <c:v>605.92</c:v>
                </c:pt>
                <c:pt idx="140">
                  <c:v>57.8</c:v>
                </c:pt>
                <c:pt idx="141">
                  <c:v>2981.1</c:v>
                </c:pt>
                <c:pt idx="142">
                  <c:v>1036.64</c:v>
                </c:pt>
                <c:pt idx="143">
                  <c:v>2332.75</c:v>
                </c:pt>
                <c:pt idx="144">
                  <c:v>760.15</c:v>
                </c:pt>
                <c:pt idx="145">
                  <c:v>360.3</c:v>
                </c:pt>
                <c:pt idx="146">
                  <c:v>1520.35</c:v>
                </c:pt>
                <c:pt idx="147">
                  <c:v>906.24</c:v>
                </c:pt>
                <c:pt idx="148">
                  <c:v>1085.76</c:v>
                </c:pt>
                <c:pt idx="149">
                  <c:v>2074.87</c:v>
                </c:pt>
                <c:pt idx="150">
                  <c:v>792.05</c:v>
                </c:pt>
                <c:pt idx="151">
                  <c:v>423.58</c:v>
                </c:pt>
                <c:pt idx="152">
                  <c:v>278.49</c:v>
                </c:pt>
                <c:pt idx="153">
                  <c:v>178.34</c:v>
                </c:pt>
                <c:pt idx="154">
                  <c:v>1044.17</c:v>
                </c:pt>
                <c:pt idx="155">
                  <c:v>338.58</c:v>
                </c:pt>
                <c:pt idx="156">
                  <c:v>1166.83</c:v>
                </c:pt>
                <c:pt idx="157">
                  <c:v>3917.54</c:v>
                </c:pt>
                <c:pt idx="158">
                  <c:v>533.2</c:v>
                </c:pt>
                <c:pt idx="159">
                  <c:v>1557.66</c:v>
                </c:pt>
                <c:pt idx="160">
                  <c:v>1037.03</c:v>
                </c:pt>
                <c:pt idx="161">
                  <c:v>2975.46</c:v>
                </c:pt>
                <c:pt idx="162">
                  <c:v>1293.97</c:v>
                </c:pt>
                <c:pt idx="163">
                  <c:v>1088.13</c:v>
                </c:pt>
                <c:pt idx="164">
                  <c:v>95.97</c:v>
                </c:pt>
                <c:pt idx="165">
                  <c:v>906.32</c:v>
                </c:pt>
                <c:pt idx="166">
                  <c:v>2025.81</c:v>
                </c:pt>
                <c:pt idx="167">
                  <c:v>105.02</c:v>
                </c:pt>
                <c:pt idx="168">
                  <c:v>29.23</c:v>
                </c:pt>
                <c:pt idx="169">
                  <c:v>1112.6</c:v>
                </c:pt>
                <c:pt idx="170">
                  <c:v>535.24</c:v>
                </c:pt>
                <c:pt idx="171">
                  <c:v>733.51</c:v>
                </c:pt>
                <c:pt idx="172">
                  <c:v>719.37</c:v>
                </c:pt>
                <c:pt idx="173">
                  <c:v>84.26</c:v>
                </c:pt>
                <c:pt idx="174">
                  <c:v>178.65</c:v>
                </c:pt>
                <c:pt idx="175">
                  <c:v>548.93</c:v>
                </c:pt>
                <c:pt idx="176">
                  <c:v>407.56</c:v>
                </c:pt>
                <c:pt idx="177">
                  <c:v>2650.84</c:v>
                </c:pt>
                <c:pt idx="178">
                  <c:v>3394.23</c:v>
                </c:pt>
                <c:pt idx="179">
                  <c:v>329.7</c:v>
                </c:pt>
                <c:pt idx="180">
                  <c:v>157.11</c:v>
                </c:pt>
                <c:pt idx="181">
                  <c:v>1309.71</c:v>
                </c:pt>
                <c:pt idx="182">
                  <c:v>564.44</c:v>
                </c:pt>
                <c:pt idx="183">
                  <c:v>915.43</c:v>
                </c:pt>
                <c:pt idx="184">
                  <c:v>306.13</c:v>
                </c:pt>
                <c:pt idx="185">
                  <c:v>377.65</c:v>
                </c:pt>
                <c:pt idx="186">
                  <c:v>2779.56</c:v>
                </c:pt>
                <c:pt idx="187">
                  <c:v>751.44</c:v>
                </c:pt>
                <c:pt idx="188">
                  <c:v>904.29</c:v>
                </c:pt>
                <c:pt idx="189">
                  <c:v>1623.01</c:v>
                </c:pt>
                <c:pt idx="190">
                  <c:v>973.29</c:v>
                </c:pt>
                <c:pt idx="191">
                  <c:v>1979.41</c:v>
                </c:pt>
                <c:pt idx="192">
                  <c:v>109.59</c:v>
                </c:pt>
                <c:pt idx="193">
                  <c:v>834.94</c:v>
                </c:pt>
                <c:pt idx="194">
                  <c:v>1876.89</c:v>
                </c:pt>
                <c:pt idx="195">
                  <c:v>469.09</c:v>
                </c:pt>
                <c:pt idx="196">
                  <c:v>886.65</c:v>
                </c:pt>
                <c:pt idx="197">
                  <c:v>970.11</c:v>
                </c:pt>
                <c:pt idx="198">
                  <c:v>932.39</c:v>
                </c:pt>
                <c:pt idx="199">
                  <c:v>1241.05</c:v>
                </c:pt>
                <c:pt idx="200">
                  <c:v>903.94</c:v>
                </c:pt>
                <c:pt idx="201">
                  <c:v>3023.48</c:v>
                </c:pt>
                <c:pt idx="202">
                  <c:v>96.22</c:v>
                </c:pt>
                <c:pt idx="203">
                  <c:v>274.68</c:v>
                </c:pt>
                <c:pt idx="204">
                  <c:v>133.29</c:v>
                </c:pt>
                <c:pt idx="205">
                  <c:v>78.62</c:v>
                </c:pt>
                <c:pt idx="206">
                  <c:v>1334.39</c:v>
                </c:pt>
                <c:pt idx="207">
                  <c:v>66.46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60709136"/>
        <c:axId val="465123056"/>
      </c:lineChart>
      <c:catAx>
        <c:axId val="460709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123056"/>
        <c:crosses val="autoZero"/>
        <c:auto val="1"/>
        <c:lblAlgn val="ctr"/>
        <c:lblOffset val="100"/>
        <c:noMultiLvlLbl val="0"/>
      </c:catAx>
      <c:valAx>
        <c:axId val="465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070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3a90c54-81f6-47f2-b333-adc4f5eaf3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 Category</a:t>
            </a:r>
            <a:endParaRPr lang="en-I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noFill/>
              <a:prstDash val="solid"/>
            </a:ln>
          </c:spPr>
          <c:invertIfNegative val="0"/>
          <c:dLbls>
            <c:delete val="1"/>
          </c:dLbls>
          <c:val>
            <c:numRef>
              <c:f>[1]Dashboard!$B$19:$B$22</c:f>
              <c:numCache>
                <c:formatCode>#,##0.00</c:formatCode>
                <c:ptCount val="4"/>
                <c:pt idx="0">
                  <c:v>223923.28</c:v>
                </c:pt>
                <c:pt idx="1">
                  <c:v>223923.28</c:v>
                </c:pt>
                <c:pt idx="2">
                  <c:v>223923.28</c:v>
                </c:pt>
                <c:pt idx="3">
                  <c:v>223923.28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[1]Dashboard!$B$18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[1]Dashboard!$A$19:$A$22</c15:sqref>
                        </c15:formulaRef>
                      </c:ext>
                    </c:extLst>
                    <c:strCache>
                      <c:ptCount val="4"/>
                      <c:pt idx="0">
                        <c:v>Beauty</c:v>
                      </c:pt>
                      <c:pt idx="1">
                        <c:v>Clothing</c:v>
                      </c:pt>
                      <c:pt idx="2">
                        <c:v>Electronics</c:v>
                      </c:pt>
                      <c:pt idx="3">
                        <c:v>Home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  <a:endParaRPr lang="en-IN"/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  <a:endParaRPr lang="en-IN"/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16e6bf-d741-443f-bb23-58e0ca24305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  <a:endParaRPr lang="en-IN"/>
          </a:p>
        </c:rich>
      </c:tx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marker>
            <c:symbol val="none"/>
          </c:marker>
          <c:dLbls>
            <c:delete val="1"/>
          </c:dLbls>
          <c:val>
            <c:numRef>
              <c:f>[1]Dashboard!$J$19:$J$25</c:f>
              <c:numCache>
                <c:formatCode>#,##0.00</c:formatCode>
                <c:ptCount val="7"/>
                <c:pt idx="0">
                  <c:v>223923.28</c:v>
                </c:pt>
                <c:pt idx="1">
                  <c:v>223923.28</c:v>
                </c:pt>
                <c:pt idx="2">
                  <c:v>223923.28</c:v>
                </c:pt>
                <c:pt idx="3">
                  <c:v>223923.28</c:v>
                </c:pt>
                <c:pt idx="4">
                  <c:v>223923.28</c:v>
                </c:pt>
                <c:pt idx="5">
                  <c:v>223923.28</c:v>
                </c:pt>
                <c:pt idx="6">
                  <c:v>223923.28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[1]Dashboard!$J$18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[1]Dashboard!$I$19:$I$25</c15:sqref>
                        </c15:formulaRef>
                      </c:ext>
                    </c:extLst>
                    <c:strCache>
                      <c:ptCount val="7"/>
                      <c:pt idx="0">
                        <c:v>2022-01</c:v>
                      </c:pt>
                      <c:pt idx="1">
                        <c:v>2022-02</c:v>
                      </c:pt>
                      <c:pt idx="2">
                        <c:v>2022-03</c:v>
                      </c:pt>
                      <c:pt idx="3">
                        <c:v>2022-04</c:v>
                      </c:pt>
                      <c:pt idx="4">
                        <c:v>2022-05</c:v>
                      </c:pt>
                      <c:pt idx="5">
                        <c:v>2022-06</c:v>
                      </c:pt>
                      <c:pt idx="6">
                        <c:v>2022-07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  <a:endParaRPr lang="en-IN"/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  <a:endParaRPr lang="en-IN"/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6d5172-53ef-44a1-bb87-5d5380f7856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Orders by Payment Method</a:t>
            </a:r>
            <a:endParaRPr lang="en-IN" sz="1800" b="1" u="none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val>
            <c:numRef>
              <c:f>'[2]Pivot Tables'!$B$13:$B$15</c:f>
              <c:numCache>
                <c:formatCode>General</c:formatCode>
                <c:ptCount val="3"/>
                <c:pt idx="0">
                  <c:v>78</c:v>
                </c:pt>
                <c:pt idx="1">
                  <c:v>97</c:v>
                </c:pt>
                <c:pt idx="2">
                  <c:v>34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'[2]Pivot Tables'!$B$12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'[2]Pivot Tables'!$A$13:$A$15</c15:sqref>
                        </c15:formulaRef>
                      </c:ext>
                    </c:extLst>
                    <c:strCache>
                      <c:ptCount val="3"/>
                      <c:pt idx="0">
                        <c:v>COD</c:v>
                      </c:pt>
                      <c:pt idx="1">
                        <c:v>Card</c:v>
                      </c:pt>
                      <c:pt idx="2">
                        <c:v>Wallet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ead32f5-ea82-465a-98f8-92e60af0e063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[Pinky_ExcelDashboard.xlsx]pivot table!PivotTable5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945008379976599"/>
          <c:y val="0.133238553514144"/>
          <c:w val="0.611279962369162"/>
          <c:h val="0.6677901720618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752.69</c:v>
                </c:pt>
                <c:pt idx="1">
                  <c:v>7377.17</c:v>
                </c:pt>
                <c:pt idx="2">
                  <c:v>6604.48</c:v>
                </c:pt>
                <c:pt idx="3">
                  <c:v>5512.01</c:v>
                </c:pt>
              </c:numCache>
            </c:numRef>
          </c:val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delivery_days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table'!$C$4:$C$8</c:f>
              <c:numCache>
                <c:formatCode>General</c:formatCode>
                <c:ptCount val="4"/>
                <c:pt idx="0">
                  <c:v>5</c:v>
                </c:pt>
                <c:pt idx="1">
                  <c:v>37</c:v>
                </c:pt>
                <c:pt idx="2">
                  <c:v>40</c:v>
                </c:pt>
                <c:pt idx="3">
                  <c:v>18</c:v>
                </c:pt>
              </c:numCache>
            </c:numRef>
          </c:val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table'!$D$4:$D$8</c:f>
              <c:numCache>
                <c:formatCode>General</c:formatCode>
                <c:ptCount val="4"/>
                <c:pt idx="0">
                  <c:v>418.16</c:v>
                </c:pt>
                <c:pt idx="1">
                  <c:v>2046.78</c:v>
                </c:pt>
                <c:pt idx="2">
                  <c:v>1783.91</c:v>
                </c:pt>
                <c:pt idx="3">
                  <c:v>1103.41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113456"/>
        <c:axId val="465042896"/>
      </c:barChart>
      <c:catAx>
        <c:axId val="32211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042896"/>
        <c:crosses val="autoZero"/>
        <c:auto val="1"/>
        <c:lblAlgn val="ctr"/>
        <c:lblOffset val="100"/>
        <c:noMultiLvlLbl val="0"/>
      </c:catAx>
      <c:valAx>
        <c:axId val="4650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211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780b61-400f-4951-972a-f0c7ac5e3a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 Category</a:t>
            </a:r>
            <a:endParaRPr lang="en-I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noFill/>
              <a:prstDash val="solid"/>
            </a:ln>
          </c:spPr>
          <c:invertIfNegative val="0"/>
          <c:dLbls>
            <c:delete val="1"/>
          </c:dLbls>
          <c:val>
            <c:numRef>
              <c:f>[1]Dashboard!$B$19:$B$22</c:f>
              <c:numCache>
                <c:formatCode>#,##0.00</c:formatCode>
                <c:ptCount val="4"/>
                <c:pt idx="0">
                  <c:v>223923.28</c:v>
                </c:pt>
                <c:pt idx="1">
                  <c:v>223923.28</c:v>
                </c:pt>
                <c:pt idx="2">
                  <c:v>223923.28</c:v>
                </c:pt>
                <c:pt idx="3">
                  <c:v>223923.28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[1]Dashboard!$B$18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[1]Dashboard!$A$19:$A$22</c15:sqref>
                        </c15:formulaRef>
                      </c:ext>
                    </c:extLst>
                    <c:strCache>
                      <c:ptCount val="4"/>
                      <c:pt idx="0">
                        <c:v>Beauty</c:v>
                      </c:pt>
                      <c:pt idx="1">
                        <c:v>Clothing</c:v>
                      </c:pt>
                      <c:pt idx="2">
                        <c:v>Electronics</c:v>
                      </c:pt>
                      <c:pt idx="3">
                        <c:v>Home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  <a:endParaRPr lang="en-IN"/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  <a:endParaRPr lang="en-IN"/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16e6bf-d741-443f-bb23-58e0ca24305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  <a:endParaRPr lang="en-IN"/>
          </a:p>
        </c:rich>
      </c:tx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marker>
            <c:symbol val="none"/>
          </c:marker>
          <c:dLbls>
            <c:delete val="1"/>
          </c:dLbls>
          <c:val>
            <c:numRef>
              <c:f>[1]Dashboard!$J$19:$J$25</c:f>
              <c:numCache>
                <c:formatCode>#,##0.00</c:formatCode>
                <c:ptCount val="7"/>
                <c:pt idx="0">
                  <c:v>223923.28</c:v>
                </c:pt>
                <c:pt idx="1">
                  <c:v>223923.28</c:v>
                </c:pt>
                <c:pt idx="2">
                  <c:v>223923.28</c:v>
                </c:pt>
                <c:pt idx="3">
                  <c:v>223923.28</c:v>
                </c:pt>
                <c:pt idx="4">
                  <c:v>223923.28</c:v>
                </c:pt>
                <c:pt idx="5">
                  <c:v>223923.28</c:v>
                </c:pt>
                <c:pt idx="6">
                  <c:v>223923.28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[1]Dashboard!$J$18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[1]Dashboard!$I$19:$I$25</c15:sqref>
                        </c15:formulaRef>
                      </c:ext>
                    </c:extLst>
                    <c:strCache>
                      <c:ptCount val="7"/>
                      <c:pt idx="0">
                        <c:v>2022-01</c:v>
                      </c:pt>
                      <c:pt idx="1">
                        <c:v>2022-02</c:v>
                      </c:pt>
                      <c:pt idx="2">
                        <c:v>2022-03</c:v>
                      </c:pt>
                      <c:pt idx="3">
                        <c:v>2022-04</c:v>
                      </c:pt>
                      <c:pt idx="4">
                        <c:v>2022-05</c:v>
                      </c:pt>
                      <c:pt idx="5">
                        <c:v>2022-06</c:v>
                      </c:pt>
                      <c:pt idx="6">
                        <c:v>2022-07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  <a:endParaRPr lang="en-IN"/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  <a:endParaRPr lang="en-IN"/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4966385780725"/>
          <c:y val="0.54339197547859"/>
          <c:w val="0.216758760418106"/>
          <c:h val="0.10537828313418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6d5172-53ef-44a1-bb87-5d5380f7856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Orders by Payment Method</a:t>
            </a:r>
            <a:endParaRPr lang="en-IN" sz="1800" b="1" u="none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val>
            <c:numRef>
              <c:f>'[2]Pivot Tables'!$B$13:$B$15</c:f>
              <c:numCache>
                <c:formatCode>General</c:formatCode>
                <c:ptCount val="3"/>
                <c:pt idx="0">
                  <c:v>78</c:v>
                </c:pt>
                <c:pt idx="1">
                  <c:v>97</c:v>
                </c:pt>
                <c:pt idx="2">
                  <c:v>34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'[2]Pivot Tables'!$B$12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'[2]Pivot Tables'!$A$13:$A$15</c15:sqref>
                        </c15:formulaRef>
                      </c:ext>
                    </c:extLst>
                    <c:strCache>
                      <c:ptCount val="3"/>
                      <c:pt idx="0">
                        <c:v>COD</c:v>
                      </c:pt>
                      <c:pt idx="1">
                        <c:v>Card</c:v>
                      </c:pt>
                      <c:pt idx="2">
                        <c:v>Wallet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ead32f5-ea82-465a-98f8-92e60af0e063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457200</xdr:colOff>
      <xdr:row>211</xdr:row>
      <xdr:rowOff>68580</xdr:rowOff>
    </xdr:from>
    <xdr:to>
      <xdr:col>10</xdr:col>
      <xdr:colOff>640080</xdr:colOff>
      <xdr:row>226</xdr:row>
      <xdr:rowOff>68580</xdr:rowOff>
    </xdr:to>
    <xdr:graphicFrame>
      <xdr:nvGraphicFramePr>
        <xdr:cNvPr id="5" name="Chart 4"/>
        <xdr:cNvGraphicFramePr/>
      </xdr:nvGraphicFramePr>
      <xdr:xfrm>
        <a:off x="4808220" y="3865626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2</xdr:row>
      <xdr:rowOff>7620</xdr:rowOff>
    </xdr:from>
    <xdr:to>
      <xdr:col>8</xdr:col>
      <xdr:colOff>152400</xdr:colOff>
      <xdr:row>15</xdr:row>
      <xdr:rowOff>167641</xdr:rowOff>
    </xdr:to>
    <xdr:graphicFrame>
      <xdr:nvGraphicFramePr>
        <xdr:cNvPr id="2" name="Chart 1"/>
        <xdr:cNvGraphicFramePr/>
      </xdr:nvGraphicFramePr>
      <xdr:xfrm>
        <a:off x="617220" y="373380"/>
        <a:ext cx="4472940" cy="2537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129540</xdr:colOff>
      <xdr:row>2</xdr:row>
      <xdr:rowOff>7620</xdr:rowOff>
    </xdr:from>
    <xdr:to>
      <xdr:col>16</xdr:col>
      <xdr:colOff>15240</xdr:colOff>
      <xdr:row>15</xdr:row>
      <xdr:rowOff>152400</xdr:rowOff>
    </xdr:to>
    <xdr:graphicFrame>
      <xdr:nvGraphicFramePr>
        <xdr:cNvPr id="3" name="Chart 2"/>
        <xdr:cNvGraphicFramePr/>
      </xdr:nvGraphicFramePr>
      <xdr:xfrm>
        <a:off x="5684520" y="373380"/>
        <a:ext cx="4206240" cy="2522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</xdr:colOff>
      <xdr:row>17</xdr:row>
      <xdr:rowOff>0</xdr:rowOff>
    </xdr:from>
    <xdr:to>
      <xdr:col>11</xdr:col>
      <xdr:colOff>15240</xdr:colOff>
      <xdr:row>31</xdr:row>
      <xdr:rowOff>19050</xdr:rowOff>
    </xdr:to>
    <xdr:graphicFrame>
      <xdr:nvGraphicFramePr>
        <xdr:cNvPr id="6" name="Chart 5"/>
        <xdr:cNvGraphicFramePr/>
      </xdr:nvGraphicFramePr>
      <xdr:xfrm>
        <a:off x="2506980" y="3108960"/>
        <a:ext cx="4297680" cy="2579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259080</xdr:colOff>
      <xdr:row>9</xdr:row>
      <xdr:rowOff>175260</xdr:rowOff>
    </xdr:from>
    <xdr:to>
      <xdr:col>4</xdr:col>
      <xdr:colOff>281940</xdr:colOff>
      <xdr:row>22</xdr:row>
      <xdr:rowOff>91440</xdr:rowOff>
    </xdr:to>
    <xdr:graphicFrame>
      <xdr:nvGraphicFramePr>
        <xdr:cNvPr id="2" name="Chart 1"/>
        <xdr:cNvGraphicFramePr/>
      </xdr:nvGraphicFramePr>
      <xdr:xfrm>
        <a:off x="259080" y="1821180"/>
        <a:ext cx="4290060" cy="2293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3" name="order_date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4</xdr:col>
      <xdr:colOff>449580</xdr:colOff>
      <xdr:row>2</xdr:row>
      <xdr:rowOff>30480</xdr:rowOff>
    </xdr:from>
    <xdr:to>
      <xdr:col>9</xdr:col>
      <xdr:colOff>335280</xdr:colOff>
      <xdr:row>9</xdr:row>
      <xdr:rowOff>45720</xdr:rowOff>
    </xdr:to>
    <xdr:sp>
      <xdr:nvSpPr>
        <xdr:cNvPr id="4" name="Rectangle 3"/>
        <xdr:cNvSpPr>
          <a:spLocks noTextEdit="1"/>
        </xdr:cNvSpPr>
      </xdr:nvSpPr>
      <xdr:spPr>
        <a:xfrm>
          <a:off x="4716780" y="396240"/>
          <a:ext cx="3596640" cy="12954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Timeline: Works in Excel 2013 or higher. Do not move or resize.</a:t>
          </a:r>
          <a:endParaRPr lang="en-IN" sz="1100"/>
        </a:p>
      </xdr:txBody>
    </xdr:sp>
    <xdr:clientData/>
  </xdr:twoCellAnchor>
  <xdr:twoCellAnchor editAs="oneCell">
    <xdr:from>
      <xdr:col>4</xdr:col>
      <xdr:colOff>427355</xdr:colOff>
      <xdr:row>1</xdr:row>
      <xdr:rowOff>137160</xdr:rowOff>
    </xdr:from>
    <xdr:to>
      <xdr:col>9</xdr:col>
      <xdr:colOff>417195</xdr:colOff>
      <xdr:row>10</xdr:row>
      <xdr:rowOff>113665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94555" y="320040"/>
          <a:ext cx="3700780" cy="1622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7</xdr:row>
      <xdr:rowOff>7621</xdr:rowOff>
    </xdr:from>
    <xdr:to>
      <xdr:col>7</xdr:col>
      <xdr:colOff>144780</xdr:colOff>
      <xdr:row>18</xdr:row>
      <xdr:rowOff>175260</xdr:rowOff>
    </xdr:to>
    <xdr:graphicFrame>
      <xdr:nvGraphicFramePr>
        <xdr:cNvPr id="3" name="Chart 2"/>
        <xdr:cNvGraphicFramePr/>
      </xdr:nvGraphicFramePr>
      <xdr:xfrm>
        <a:off x="464820" y="1394460"/>
        <a:ext cx="3810000" cy="217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83820</xdr:colOff>
      <xdr:row>7</xdr:row>
      <xdr:rowOff>30480</xdr:rowOff>
    </xdr:from>
    <xdr:to>
      <xdr:col>13</xdr:col>
      <xdr:colOff>220980</xdr:colOff>
      <xdr:row>19</xdr:row>
      <xdr:rowOff>0</xdr:rowOff>
    </xdr:to>
    <xdr:graphicFrame>
      <xdr:nvGraphicFramePr>
        <xdr:cNvPr id="4" name="Chart 3"/>
        <xdr:cNvGraphicFramePr/>
      </xdr:nvGraphicFramePr>
      <xdr:xfrm>
        <a:off x="4831080" y="1417320"/>
        <a:ext cx="3528060" cy="2164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106680</xdr:colOff>
      <xdr:row>7</xdr:row>
      <xdr:rowOff>0</xdr:rowOff>
    </xdr:from>
    <xdr:to>
      <xdr:col>19</xdr:col>
      <xdr:colOff>601980</xdr:colOff>
      <xdr:row>19</xdr:row>
      <xdr:rowOff>7620</xdr:rowOff>
    </xdr:to>
    <xdr:graphicFrame>
      <xdr:nvGraphicFramePr>
        <xdr:cNvPr id="9" name="Chart 8"/>
        <xdr:cNvGraphicFramePr/>
      </xdr:nvGraphicFramePr>
      <xdr:xfrm>
        <a:off x="8862060" y="1386840"/>
        <a:ext cx="3436620" cy="2202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20</xdr:row>
      <xdr:rowOff>0</xdr:rowOff>
    </xdr:from>
    <xdr:to>
      <xdr:col>4</xdr:col>
      <xdr:colOff>15240</xdr:colOff>
      <xdr:row>33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product_catego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820" y="37642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213360</xdr:colOff>
      <xdr:row>20</xdr:row>
      <xdr:rowOff>7620</xdr:rowOff>
    </xdr:from>
    <xdr:to>
      <xdr:col>7</xdr:col>
      <xdr:colOff>213360</xdr:colOff>
      <xdr:row>33</xdr:row>
      <xdr:rowOff>97155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1740" y="377190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495300</xdr:colOff>
      <xdr:row>20</xdr:row>
      <xdr:rowOff>0</xdr:rowOff>
    </xdr:from>
    <xdr:to>
      <xdr:col>10</xdr:col>
      <xdr:colOff>495300</xdr:colOff>
      <xdr:row>33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payment_method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25340" y="376428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144780</xdr:colOff>
      <xdr:row>20</xdr:row>
      <xdr:rowOff>0</xdr:rowOff>
    </xdr:from>
    <xdr:to>
      <xdr:col>13</xdr:col>
      <xdr:colOff>487680</xdr:colOff>
      <xdr:row>33</xdr:row>
      <xdr:rowOff>76199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revenu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venu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43700" y="3764280"/>
              <a:ext cx="1882140" cy="2453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4" name="order_date 1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14</xdr:col>
      <xdr:colOff>129540</xdr:colOff>
      <xdr:row>20</xdr:row>
      <xdr:rowOff>22860</xdr:rowOff>
    </xdr:from>
    <xdr:to>
      <xdr:col>20</xdr:col>
      <xdr:colOff>7620</xdr:colOff>
      <xdr:row>29</xdr:row>
      <xdr:rowOff>7620</xdr:rowOff>
    </xdr:to>
    <xdr:sp>
      <xdr:nvSpPr>
        <xdr:cNvPr id="2" name="Rectangle 1"/>
        <xdr:cNvSpPr>
          <a:spLocks noTextEdit="1"/>
        </xdr:cNvSpPr>
      </xdr:nvSpPr>
      <xdr:spPr>
        <a:xfrm>
          <a:off x="8884920" y="3787140"/>
          <a:ext cx="3436620" cy="163068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Timeline: Works in Excel 2013 or higher. Do not move or resize.</a:t>
          </a:r>
          <a:endParaRPr lang="en-IN" sz="1100"/>
        </a:p>
      </xdr:txBody>
    </xdr:sp>
    <xdr:clientData/>
  </xdr:twoCellAnchor>
  <xdr:twoCellAnchor editAs="oneCell">
    <xdr:from>
      <xdr:col>14</xdr:col>
      <xdr:colOff>30480</xdr:colOff>
      <xdr:row>20</xdr:row>
      <xdr:rowOff>22860</xdr:rowOff>
    </xdr:from>
    <xdr:to>
      <xdr:col>20</xdr:col>
      <xdr:colOff>9525</xdr:colOff>
      <xdr:row>29</xdr:row>
      <xdr:rowOff>44450</xdr:rowOff>
    </xdr:to>
    <xdr:pic>
      <xdr:nvPicPr>
        <xdr:cNvPr id="8" name="Picture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785860" y="3787140"/>
          <a:ext cx="3537585" cy="1667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Updated_Excel_Dashboar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ourName_ExcelDashboar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shboard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shboard"/>
      <sheetName val="Pivot Tables"/>
    </sheetNames>
    <sheetDataSet>
      <sheetData sheetId="0" refreshError="1"/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80.4599456019" refreshedBy="Rohit Mali" recordCount="208">
  <cacheSource type="worksheet">
    <worksheetSource name="Table4"/>
  </cacheSource>
  <cacheFields count="14">
    <cacheField name="order_id" numFmtId="0"/>
    <cacheField name="order_date" numFmtId="183">
      <sharedItems containsSemiMixedTypes="0" containsString="0" containsNonDate="0" containsDate="1" minDate="2022-01-01T00:00:00" maxDate="2022-07-27T00:00:00" count="208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</sharedItems>
      <fieldGroup par="13"/>
    </cacheField>
    <cacheField name="customer_id" numFmtId="0"/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/>
    <cacheField name="unit_price" numFmtId="0"/>
    <cacheField name="discount" numFmtId="0"/>
    <cacheField name="payment_method" numFmtId="0">
      <sharedItems count="3">
        <s v="Wallet"/>
        <s v="Card"/>
        <s v="COD"/>
      </sharedItems>
    </cacheField>
    <cacheField name="delivery_days" numFmtId="0"/>
    <cacheField name="customer_rating" numFmtId="0"/>
    <cacheField name="revenue" numFmtId="0">
      <sharedItems containsSemiMixedTypes="0" containsString="0" containsNumber="1" minValue="0" maxValue="3917.54" count="208">
        <n v="1883.2"/>
        <n v="304.1"/>
        <n v="644.35"/>
        <n v="2569.9"/>
        <n v="468.56"/>
        <n v="423.1"/>
        <n v="2608.45"/>
        <n v="1387.01"/>
        <n v="983.97"/>
        <n v="1025.39"/>
        <n v="1875.01"/>
        <n v="992.55"/>
        <n v="2368.71"/>
        <n v="1447.71"/>
        <n v="1617.79"/>
        <n v="523.57"/>
        <n v="607.08"/>
        <n v="1987.5"/>
        <n v="939.32"/>
        <n v="1840.47"/>
        <n v="40.42"/>
        <n v="150.98"/>
        <n v="251.02"/>
        <n v="138.86"/>
        <n v="1423.15"/>
        <n v="140.49"/>
        <n v="2559.59"/>
        <n v="1024.78"/>
        <n v="1048.56"/>
        <n v="1670.96"/>
        <n v="678.34"/>
        <n v="2715.34"/>
        <n v="354.57"/>
        <n v="200.72"/>
        <n v="829.29"/>
        <n v="1471.06"/>
        <n v="485.49"/>
        <n v="1081.12"/>
        <n v="317.03"/>
        <n v="3640.56"/>
        <n v="1440.47"/>
        <n v="835.44"/>
        <n v="1581.23"/>
        <n v="15.52"/>
        <n v="93.48"/>
        <n v="2534.44"/>
        <n v="458.28"/>
        <n v="40.95"/>
        <n v="774.8"/>
        <n v="375.26"/>
        <n v="2663.13"/>
        <n v="323.2"/>
        <n v="146.31"/>
        <n v="303.22"/>
        <n v="1737.34"/>
        <n v="481.94"/>
        <n v="302.02"/>
        <n v="1910.37"/>
        <n v="2796.31"/>
        <n v="83.48"/>
        <n v="167.18"/>
        <n v="675.44"/>
        <n v="317.38"/>
        <n v="617.35"/>
        <n v="1791.05"/>
        <n v="208.68"/>
        <n v="3089.76"/>
        <n v="1120.02"/>
        <n v="1813.58"/>
        <n v="3338.37"/>
        <n v="13.01"/>
        <n v="644.67"/>
        <n v="87.38"/>
        <n v="983.86"/>
        <n v="222.79"/>
        <n v="349.51"/>
        <n v="64.4"/>
        <n v="897.56"/>
        <n v="1322.19"/>
        <n v="1841.13"/>
        <n v="2743.44"/>
        <n v="1220.3"/>
        <n v="85.8"/>
        <n v="450.43"/>
        <n v="129.26"/>
        <n v="945.17"/>
        <n v="1211.07"/>
        <n v="14.42"/>
        <n v="752.69"/>
        <n v="3107.91"/>
        <n v="1165.58"/>
        <n v="436.6"/>
        <n v="455.07"/>
        <n v="798.89"/>
        <n v="504.17"/>
        <n v="317.77"/>
        <n v="626.31"/>
        <n v="3214.19"/>
        <n v="804.53"/>
        <n v="2930.38"/>
        <n v="1598.44"/>
        <n v="1132.34"/>
        <n v="3449.5"/>
        <n v="590.2"/>
        <n v="2850.78"/>
        <n v="2577.06"/>
        <n v="274.75"/>
        <n v="1021.84"/>
        <n v="82.35"/>
        <n v="64.53"/>
        <n v="96.72"/>
        <n v="606.67"/>
        <n v="492.09"/>
        <n v="158.58"/>
        <n v="704"/>
        <n v="783.03"/>
        <n v="265.14"/>
        <n v="28.64"/>
        <n v="1645.23"/>
        <n v="1106.58"/>
        <n v="1236.69"/>
        <n v="2000.26"/>
        <n v="2690.63"/>
        <n v="429.62"/>
        <n v="1345.67"/>
        <n v="2887.11"/>
        <n v="3472.39"/>
        <n v="924.73"/>
        <n v="1192.17"/>
        <n v="415.06"/>
        <n v="1628.82"/>
        <n v="2332.76"/>
        <n v="1279.2"/>
        <n v="2119.15"/>
        <n v="364.74"/>
        <n v="1276.55"/>
        <n v="265.38"/>
        <n v="150.97"/>
        <n v="1103.41"/>
        <n v="605.92"/>
        <n v="57.8"/>
        <n v="2981.1"/>
        <n v="1036.64"/>
        <n v="2332.75"/>
        <n v="760.15"/>
        <n v="360.3"/>
        <n v="1520.35"/>
        <n v="906.24"/>
        <n v="1085.76"/>
        <n v="2074.87"/>
        <n v="792.05"/>
        <n v="423.58"/>
        <n v="278.49"/>
        <n v="178.34"/>
        <n v="1044.17"/>
        <n v="338.58"/>
        <n v="1166.83"/>
        <n v="3917.54"/>
        <n v="533.2"/>
        <n v="1557.66"/>
        <n v="1037.03"/>
        <n v="2975.46"/>
        <n v="1293.97"/>
        <n v="1088.13"/>
        <n v="95.97"/>
        <n v="906.32"/>
        <n v="2025.81"/>
        <n v="105.02"/>
        <n v="29.23"/>
        <n v="1112.6"/>
        <n v="535.24"/>
        <n v="733.51"/>
        <n v="719.37"/>
        <n v="84.26"/>
        <n v="178.65"/>
        <n v="548.93"/>
        <n v="407.56"/>
        <n v="2650.84"/>
        <n v="3394.23"/>
        <n v="329.7"/>
        <n v="157.11"/>
        <n v="1309.71"/>
        <n v="564.44"/>
        <n v="915.43"/>
        <n v="306.13"/>
        <n v="377.65"/>
        <n v="2779.56"/>
        <n v="751.44"/>
        <n v="904.29"/>
        <n v="1623.01"/>
        <n v="973.29"/>
        <n v="1979.41"/>
        <n v="109.59"/>
        <n v="834.94"/>
        <n v="1876.89"/>
        <n v="469.09"/>
        <n v="886.65"/>
        <n v="970.11"/>
        <n v="932.39"/>
        <n v="1241.05"/>
        <n v="903.94"/>
        <n v="3023.48"/>
        <n v="96.22"/>
        <n v="274.68"/>
        <n v="133.29"/>
        <n v="78.62"/>
        <n v="1334.39"/>
        <n v="66.46"/>
      </sharedItems>
    </cacheField>
    <cacheField name="Days (order_date)" numFmtId="0" databaseField="0">
      <fieldGroup base="1">
        <rangePr groupBy="days" startDate="2022-01-01T00:00:00" endDate="2022-07-28T00:00:00" groupInterval="1"/>
        <groupItems count="368">
          <s v="&lt;01-01-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07-2022"/>
        </groupItems>
      </fieldGroup>
    </cacheField>
    <cacheField name="Months (order_date)" numFmtId="0" databaseField="0">
      <fieldGroup base="1">
        <rangePr groupBy="months" startDate="2022-01-01T00:00:00" endDate="2022-07-28T00:00:00" groupInterval="1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7-2022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n v="10001"/>
    <x v="0"/>
    <n v="1102"/>
    <x v="0"/>
    <x v="0"/>
    <n v="7"/>
    <n v="373.65"/>
    <n v="0.28000000000000003"/>
    <x v="0"/>
    <n v="10"/>
    <n v="4.7"/>
    <x v="0"/>
  </r>
  <r>
    <n v="10002"/>
    <x v="1"/>
    <n v="1435"/>
    <x v="1"/>
    <x v="0"/>
    <n v="7"/>
    <n v="47.74"/>
    <n v="0.09"/>
    <x v="1"/>
    <n v="6"/>
    <n v="3.9"/>
    <x v="1"/>
  </r>
  <r>
    <n v="10003"/>
    <x v="2"/>
    <n v="1860"/>
    <x v="0"/>
    <x v="1"/>
    <n v="3"/>
    <n v="311.27999999999997"/>
    <n v="0.31"/>
    <x v="2"/>
    <n v="6"/>
    <n v="2.5"/>
    <x v="2"/>
  </r>
  <r>
    <n v="10004"/>
    <x v="3"/>
    <n v="1270"/>
    <x v="2"/>
    <x v="2"/>
    <n v="5"/>
    <n v="524.47"/>
    <n v="0.02"/>
    <x v="0"/>
    <n v="6"/>
    <n v="1.6"/>
    <x v="3"/>
  </r>
  <r>
    <n v="10005"/>
    <x v="4"/>
    <n v="1106"/>
    <x v="1"/>
    <x v="2"/>
    <n v="5"/>
    <n v="139.87"/>
    <n v="0.33"/>
    <x v="0"/>
    <n v="4"/>
    <n v="4.9000000000000004"/>
    <x v="4"/>
  </r>
  <r>
    <n v="10006"/>
    <x v="5"/>
    <n v="1071"/>
    <x v="2"/>
    <x v="2"/>
    <n v="2"/>
    <n v="264.44"/>
    <n v="0.2"/>
    <x v="1"/>
    <n v="3"/>
    <n v="3.3"/>
    <x v="5"/>
  </r>
  <r>
    <n v="10007"/>
    <x v="6"/>
    <n v="1700"/>
    <x v="1"/>
    <x v="0"/>
    <n v="6"/>
    <n v="564.6"/>
    <n v="0.23"/>
    <x v="1"/>
    <n v="1"/>
    <n v="1.8"/>
    <x v="6"/>
  </r>
  <r>
    <n v="10008"/>
    <x v="7"/>
    <n v="1020"/>
    <x v="0"/>
    <x v="3"/>
    <n v="6"/>
    <n v="265.70999999999998"/>
    <n v="0.13"/>
    <x v="1"/>
    <n v="2"/>
    <n v="3.7"/>
    <x v="7"/>
  </r>
  <r>
    <n v="10009"/>
    <x v="8"/>
    <n v="1614"/>
    <x v="1"/>
    <x v="0"/>
    <n v="6"/>
    <n v="224.65"/>
    <n v="0.27"/>
    <x v="1"/>
    <n v="2"/>
    <n v="1.4"/>
    <x v="8"/>
  </r>
  <r>
    <n v="10010"/>
    <x v="9"/>
    <n v="1121"/>
    <x v="1"/>
    <x v="2"/>
    <n v="4"/>
    <n v="272.70999999999998"/>
    <n v="0.06"/>
    <x v="1"/>
    <n v="10"/>
    <n v="4.5"/>
    <x v="9"/>
  </r>
  <r>
    <n v="10011"/>
    <x v="10"/>
    <n v="1466"/>
    <x v="1"/>
    <x v="2"/>
    <n v="6"/>
    <n v="318.88"/>
    <n v="0.02"/>
    <x v="2"/>
    <n v="7"/>
    <n v="1.4"/>
    <x v="10"/>
  </r>
  <r>
    <n v="10012"/>
    <x v="11"/>
    <n v="1214"/>
    <x v="2"/>
    <x v="2"/>
    <n v="3"/>
    <n v="384.71"/>
    <n v="0.14000000000000001"/>
    <x v="2"/>
    <n v="11"/>
    <n v="1.9"/>
    <x v="11"/>
  </r>
  <r>
    <n v="10013"/>
    <x v="12"/>
    <n v="1330"/>
    <x v="0"/>
    <x v="0"/>
    <n v="7"/>
    <n v="483.41"/>
    <n v="0.3"/>
    <x v="2"/>
    <n v="6"/>
    <n v="1.4"/>
    <x v="12"/>
  </r>
  <r>
    <n v="10014"/>
    <x v="13"/>
    <n v="1458"/>
    <x v="1"/>
    <x v="2"/>
    <n v="7"/>
    <n v="279.48"/>
    <n v="0.26"/>
    <x v="2"/>
    <n v="8"/>
    <n v="1.4"/>
    <x v="13"/>
  </r>
  <r>
    <n v="10015"/>
    <x v="14"/>
    <n v="1087"/>
    <x v="1"/>
    <x v="1"/>
    <n v="4"/>
    <n v="493.23"/>
    <n v="0.18"/>
    <x v="1"/>
    <n v="9"/>
    <n v="3.1"/>
    <x v="14"/>
  </r>
  <r>
    <n v="10016"/>
    <x v="15"/>
    <n v="1372"/>
    <x v="1"/>
    <x v="2"/>
    <n v="2"/>
    <n v="327.23"/>
    <n v="0.2"/>
    <x v="0"/>
    <n v="5"/>
    <n v="3.7"/>
    <x v="15"/>
  </r>
  <r>
    <n v="10017"/>
    <x v="16"/>
    <n v="1099"/>
    <x v="1"/>
    <x v="3"/>
    <n v="3"/>
    <n v="213.01"/>
    <n v="0.05"/>
    <x v="0"/>
    <n v="11"/>
    <n v="4.2"/>
    <x v="16"/>
  </r>
  <r>
    <n v="10018"/>
    <x v="17"/>
    <n v="1871"/>
    <x v="2"/>
    <x v="1"/>
    <n v="7"/>
    <n v="399.9"/>
    <n v="0.28999999999999998"/>
    <x v="2"/>
    <n v="3"/>
    <n v="3.8"/>
    <x v="17"/>
  </r>
  <r>
    <n v="10019"/>
    <x v="18"/>
    <n v="1663"/>
    <x v="3"/>
    <x v="2"/>
    <n v="3"/>
    <n v="434.87"/>
    <n v="0.28000000000000003"/>
    <x v="0"/>
    <n v="4"/>
    <n v="2.5"/>
    <x v="18"/>
  </r>
  <r>
    <n v="10020"/>
    <x v="19"/>
    <n v="1130"/>
    <x v="2"/>
    <x v="1"/>
    <n v="7"/>
    <n v="341.46"/>
    <n v="0.23"/>
    <x v="1"/>
    <n v="11"/>
    <n v="3.2"/>
    <x v="19"/>
  </r>
  <r>
    <n v="10021"/>
    <x v="20"/>
    <n v="1661"/>
    <x v="3"/>
    <x v="2"/>
    <n v="1"/>
    <n v="48.12"/>
    <n v="0.16"/>
    <x v="2"/>
    <n v="8"/>
    <n v="4.7"/>
    <x v="20"/>
  </r>
  <r>
    <n v="10022"/>
    <x v="21"/>
    <n v="1308"/>
    <x v="3"/>
    <x v="3"/>
    <n v="2"/>
    <n v="114.38"/>
    <n v="0.34"/>
    <x v="1"/>
    <n v="3"/>
    <n v="2.6"/>
    <x v="21"/>
  </r>
  <r>
    <n v="10023"/>
    <x v="22"/>
    <n v="1769"/>
    <x v="3"/>
    <x v="2"/>
    <n v="2"/>
    <n v="181.9"/>
    <n v="0.31"/>
    <x v="1"/>
    <n v="2"/>
    <n v="2"/>
    <x v="22"/>
  </r>
  <r>
    <n v="10024"/>
    <x v="23"/>
    <n v="1343"/>
    <x v="1"/>
    <x v="1"/>
    <n v="1"/>
    <n v="180.34"/>
    <n v="0.23"/>
    <x v="1"/>
    <n v="7"/>
    <n v="3.1"/>
    <x v="23"/>
  </r>
  <r>
    <n v="10025"/>
    <x v="24"/>
    <n v="1491"/>
    <x v="1"/>
    <x v="3"/>
    <n v="4"/>
    <n v="408.95"/>
    <n v="0.13"/>
    <x v="2"/>
    <n v="4"/>
    <n v="2.2000000000000002"/>
    <x v="24"/>
  </r>
  <r>
    <n v="10026"/>
    <x v="25"/>
    <n v="1413"/>
    <x v="2"/>
    <x v="0"/>
    <n v="7"/>
    <n v="25.73"/>
    <n v="0.22"/>
    <x v="1"/>
    <n v="8"/>
    <n v="2"/>
    <x v="25"/>
  </r>
  <r>
    <n v="10027"/>
    <x v="26"/>
    <n v="1805"/>
    <x v="3"/>
    <x v="3"/>
    <n v="7"/>
    <n v="457.07"/>
    <n v="0.2"/>
    <x v="2"/>
    <n v="1"/>
    <n v="4.0999999999999996"/>
    <x v="26"/>
  </r>
  <r>
    <n v="10028"/>
    <x v="27"/>
    <n v="1385"/>
    <x v="2"/>
    <x v="3"/>
    <n v="7"/>
    <n v="170.23"/>
    <n v="0.14000000000000001"/>
    <x v="1"/>
    <n v="8"/>
    <n v="4.5999999999999996"/>
    <x v="27"/>
  </r>
  <r>
    <n v="10029"/>
    <x v="28"/>
    <n v="1191"/>
    <x v="1"/>
    <x v="3"/>
    <n v="6"/>
    <n v="196.36"/>
    <n v="0.11"/>
    <x v="0"/>
    <n v="5"/>
    <n v="3"/>
    <x v="28"/>
  </r>
  <r>
    <n v="10030"/>
    <x v="29"/>
    <n v="1955"/>
    <x v="2"/>
    <x v="1"/>
    <n v="6"/>
    <n v="323.83"/>
    <n v="0.14000000000000001"/>
    <x v="2"/>
    <n v="2"/>
    <n v="4.0999999999999996"/>
    <x v="29"/>
  </r>
  <r>
    <n v="10031"/>
    <x v="30"/>
    <n v="1276"/>
    <x v="2"/>
    <x v="3"/>
    <n v="6"/>
    <n v="141.32"/>
    <n v="0.2"/>
    <x v="1"/>
    <n v="1"/>
    <n v="1.7"/>
    <x v="30"/>
  </r>
  <r>
    <n v="10032"/>
    <x v="31"/>
    <n v="1160"/>
    <x v="1"/>
    <x v="2"/>
    <n v="6"/>
    <n v="532.41999999999996"/>
    <n v="0.15"/>
    <x v="1"/>
    <n v="6"/>
    <n v="3.2"/>
    <x v="31"/>
  </r>
  <r>
    <n v="10033"/>
    <x v="32"/>
    <n v="1459"/>
    <x v="2"/>
    <x v="3"/>
    <n v="6"/>
    <n v="64.94"/>
    <n v="0.09"/>
    <x v="0"/>
    <n v="9"/>
    <n v="3.5"/>
    <x v="32"/>
  </r>
  <r>
    <n v="10034"/>
    <x v="33"/>
    <n v="1313"/>
    <x v="3"/>
    <x v="3"/>
    <n v="1"/>
    <n v="274.95999999999998"/>
    <n v="0.27"/>
    <x v="1"/>
    <n v="9"/>
    <n v="3"/>
    <x v="33"/>
  </r>
  <r>
    <n v="10035"/>
    <x v="34"/>
    <n v="1021"/>
    <x v="2"/>
    <x v="2"/>
    <n v="2"/>
    <n v="511.91"/>
    <n v="0.19"/>
    <x v="2"/>
    <n v="9"/>
    <n v="1.5"/>
    <x v="34"/>
  </r>
  <r>
    <n v="10036"/>
    <x v="35"/>
    <n v="1252"/>
    <x v="2"/>
    <x v="2"/>
    <n v="4"/>
    <n v="375.27"/>
    <n v="0.02"/>
    <x v="2"/>
    <n v="11"/>
    <n v="3.9"/>
    <x v="35"/>
  </r>
  <r>
    <n v="10037"/>
    <x v="36"/>
    <n v="1747"/>
    <x v="1"/>
    <x v="0"/>
    <n v="3"/>
    <n v="186.01"/>
    <n v="0.13"/>
    <x v="1"/>
    <n v="4"/>
    <n v="4.4000000000000004"/>
    <x v="36"/>
  </r>
  <r>
    <n v="10038"/>
    <x v="37"/>
    <n v="1856"/>
    <x v="2"/>
    <x v="3"/>
    <n v="6"/>
    <n v="261.14"/>
    <n v="0.31"/>
    <x v="1"/>
    <n v="6"/>
    <n v="3.5"/>
    <x v="37"/>
  </r>
  <r>
    <n v="10039"/>
    <x v="38"/>
    <n v="1560"/>
    <x v="2"/>
    <x v="1"/>
    <n v="1"/>
    <n v="428.42"/>
    <n v="0.26"/>
    <x v="2"/>
    <n v="10"/>
    <n v="1.7"/>
    <x v="38"/>
  </r>
  <r>
    <n v="10040"/>
    <x v="39"/>
    <n v="1474"/>
    <x v="3"/>
    <x v="3"/>
    <n v="7"/>
    <n v="584.36"/>
    <n v="0.11"/>
    <x v="1"/>
    <n v="6"/>
    <n v="1.3"/>
    <x v="39"/>
  </r>
  <r>
    <n v="10041"/>
    <x v="40"/>
    <n v="1058"/>
    <x v="2"/>
    <x v="3"/>
    <n v="4"/>
    <n v="537.49"/>
    <n v="0.33"/>
    <x v="1"/>
    <n v="5"/>
    <n v="2.2000000000000002"/>
    <x v="40"/>
  </r>
  <r>
    <n v="10042"/>
    <x v="41"/>
    <n v="1510"/>
    <x v="3"/>
    <x v="2"/>
    <n v="4"/>
    <n v="215.32"/>
    <n v="0.03"/>
    <x v="1"/>
    <n v="2"/>
    <n v="1.1000000000000001"/>
    <x v="41"/>
  </r>
  <r>
    <n v="10043"/>
    <x v="42"/>
    <n v="1681"/>
    <x v="2"/>
    <x v="0"/>
    <n v="4"/>
    <n v="598.95000000000005"/>
    <n v="0.34"/>
    <x v="1"/>
    <n v="7"/>
    <n v="4.4000000000000004"/>
    <x v="42"/>
  </r>
  <r>
    <n v="10044"/>
    <x v="43"/>
    <n v="1475"/>
    <x v="2"/>
    <x v="3"/>
    <n v="1"/>
    <n v="17.05"/>
    <n v="0.09"/>
    <x v="1"/>
    <n v="1"/>
    <n v="3.8"/>
    <x v="43"/>
  </r>
  <r>
    <n v="10045"/>
    <x v="44"/>
    <n v="1699"/>
    <x v="3"/>
    <x v="1"/>
    <n v="3"/>
    <n v="31.16"/>
    <n v="0"/>
    <x v="0"/>
    <n v="6"/>
    <n v="3.3"/>
    <x v="44"/>
  </r>
  <r>
    <n v="10046"/>
    <x v="45"/>
    <n v="1975"/>
    <x v="2"/>
    <x v="3"/>
    <n v="6"/>
    <n v="496.95"/>
    <n v="0.15"/>
    <x v="2"/>
    <n v="5"/>
    <n v="4.5999999999999996"/>
    <x v="45"/>
  </r>
  <r>
    <n v="10047"/>
    <x v="46"/>
    <n v="1782"/>
    <x v="2"/>
    <x v="1"/>
    <n v="4"/>
    <n v="131.69"/>
    <n v="0.13"/>
    <x v="2"/>
    <n v="5"/>
    <n v="1.4"/>
    <x v="46"/>
  </r>
  <r>
    <n v="10048"/>
    <x v="47"/>
    <n v="1189"/>
    <x v="1"/>
    <x v="2"/>
    <n v="1"/>
    <n v="50.55"/>
    <n v="0.19"/>
    <x v="1"/>
    <n v="8"/>
    <n v="3.9"/>
    <x v="47"/>
  </r>
  <r>
    <n v="10049"/>
    <x v="48"/>
    <n v="1957"/>
    <x v="2"/>
    <x v="0"/>
    <n v="7"/>
    <n v="153.72999999999999"/>
    <n v="0.28000000000000003"/>
    <x v="1"/>
    <n v="9"/>
    <n v="1.6"/>
    <x v="48"/>
  </r>
  <r>
    <n v="10050"/>
    <x v="49"/>
    <n v="1686"/>
    <x v="3"/>
    <x v="3"/>
    <n v="2"/>
    <n v="264.27"/>
    <n v="0.28999999999999998"/>
    <x v="0"/>
    <n v="7"/>
    <n v="1.2"/>
    <x v="49"/>
  </r>
  <r>
    <n v="10051"/>
    <x v="50"/>
    <n v="1957"/>
    <x v="2"/>
    <x v="0"/>
    <n v="7"/>
    <n v="442.38"/>
    <n v="0.14000000000000001"/>
    <x v="2"/>
    <n v="10"/>
    <n v="1.5"/>
    <x v="50"/>
  </r>
  <r>
    <n v="10052"/>
    <x v="51"/>
    <n v="1562"/>
    <x v="3"/>
    <x v="3"/>
    <n v="1"/>
    <n v="380.24"/>
    <n v="0.15"/>
    <x v="1"/>
    <n v="8"/>
    <n v="4.8"/>
    <x v="51"/>
  </r>
  <r>
    <n v="10053"/>
    <x v="52"/>
    <n v="1875"/>
    <x v="0"/>
    <x v="1"/>
    <n v="1"/>
    <n v="154.01"/>
    <n v="0.05"/>
    <x v="1"/>
    <n v="2"/>
    <n v="2.8"/>
    <x v="52"/>
  </r>
  <r>
    <n v="10054"/>
    <x v="53"/>
    <n v="1566"/>
    <x v="1"/>
    <x v="0"/>
    <n v="1"/>
    <n v="309.41000000000003"/>
    <n v="0.02"/>
    <x v="2"/>
    <n v="2"/>
    <n v="1.2"/>
    <x v="53"/>
  </r>
  <r>
    <n v="10055"/>
    <x v="54"/>
    <n v="1243"/>
    <x v="0"/>
    <x v="3"/>
    <n v="4"/>
    <n v="556.84"/>
    <n v="0.22"/>
    <x v="0"/>
    <n v="8"/>
    <n v="3.3"/>
    <x v="54"/>
  </r>
  <r>
    <n v="10056"/>
    <x v="55"/>
    <n v="1831"/>
    <x v="1"/>
    <x v="2"/>
    <n v="1"/>
    <n v="491.78"/>
    <n v="0.02"/>
    <x v="1"/>
    <n v="6"/>
    <n v="1.8"/>
    <x v="55"/>
  </r>
  <r>
    <n v="10057"/>
    <x v="56"/>
    <n v="1504"/>
    <x v="0"/>
    <x v="1"/>
    <n v="2"/>
    <n v="204.07"/>
    <n v="0.26"/>
    <x v="2"/>
    <n v="8"/>
    <n v="1"/>
    <x v="56"/>
  </r>
  <r>
    <n v="10058"/>
    <x v="57"/>
    <n v="1130"/>
    <x v="2"/>
    <x v="0"/>
    <n v="4"/>
    <n v="589.62"/>
    <n v="0.19"/>
    <x v="2"/>
    <n v="9"/>
    <n v="4"/>
    <x v="57"/>
  </r>
  <r>
    <n v="10059"/>
    <x v="58"/>
    <n v="1484"/>
    <x v="3"/>
    <x v="3"/>
    <n v="7"/>
    <n v="429.54"/>
    <n v="7.0000000000000007E-2"/>
    <x v="0"/>
    <n v="9"/>
    <n v="1.6"/>
    <x v="58"/>
  </r>
  <r>
    <n v="10060"/>
    <x v="59"/>
    <n v="1818"/>
    <x v="1"/>
    <x v="0"/>
    <n v="2"/>
    <n v="51.53"/>
    <n v="0.19"/>
    <x v="0"/>
    <n v="11"/>
    <n v="4.8"/>
    <x v="59"/>
  </r>
  <r>
    <n v="10061"/>
    <x v="60"/>
    <n v="1646"/>
    <x v="1"/>
    <x v="3"/>
    <n v="5"/>
    <n v="35.57"/>
    <n v="0.06"/>
    <x v="1"/>
    <n v="6"/>
    <n v="3.4"/>
    <x v="60"/>
  </r>
  <r>
    <n v="10062"/>
    <x v="61"/>
    <n v="1020"/>
    <x v="1"/>
    <x v="1"/>
    <n v="7"/>
    <n v="113.52"/>
    <n v="0.15"/>
    <x v="2"/>
    <n v="8"/>
    <n v="1.3"/>
    <x v="61"/>
  </r>
  <r>
    <n v="10063"/>
    <x v="62"/>
    <n v="1840"/>
    <x v="3"/>
    <x v="2"/>
    <n v="1"/>
    <n v="440.8"/>
    <n v="0.28000000000000003"/>
    <x v="2"/>
    <n v="2"/>
    <n v="1.9"/>
    <x v="62"/>
  </r>
  <r>
    <n v="10064"/>
    <x v="63"/>
    <n v="1166"/>
    <x v="2"/>
    <x v="1"/>
    <n v="6"/>
    <n v="122.49"/>
    <n v="0.16"/>
    <x v="2"/>
    <n v="8"/>
    <n v="3.4"/>
    <x v="63"/>
  </r>
  <r>
    <n v="10065"/>
    <x v="64"/>
    <n v="1273"/>
    <x v="2"/>
    <x v="0"/>
    <n v="6"/>
    <n v="314.22000000000003"/>
    <n v="0.05"/>
    <x v="0"/>
    <n v="3"/>
    <n v="2.4"/>
    <x v="64"/>
  </r>
  <r>
    <n v="10066"/>
    <x v="65"/>
    <n v="1387"/>
    <x v="3"/>
    <x v="0"/>
    <n v="4"/>
    <n v="69.56"/>
    <n v="0.25"/>
    <x v="0"/>
    <n v="1"/>
    <n v="3.1"/>
    <x v="65"/>
  </r>
  <r>
    <n v="10067"/>
    <x v="66"/>
    <n v="1600"/>
    <x v="3"/>
    <x v="3"/>
    <n v="6"/>
    <n v="553.72"/>
    <n v="7.0000000000000007E-2"/>
    <x v="1"/>
    <n v="7"/>
    <n v="4.2"/>
    <x v="66"/>
  </r>
  <r>
    <n v="10068"/>
    <x v="67"/>
    <n v="1315"/>
    <x v="0"/>
    <x v="1"/>
    <n v="7"/>
    <n v="216.22"/>
    <n v="0.26"/>
    <x v="1"/>
    <n v="1"/>
    <n v="4.2"/>
    <x v="67"/>
  </r>
  <r>
    <n v="10069"/>
    <x v="68"/>
    <n v="1013"/>
    <x v="3"/>
    <x v="3"/>
    <n v="4"/>
    <n v="546.26"/>
    <n v="0.17"/>
    <x v="2"/>
    <n v="11"/>
    <n v="3.8"/>
    <x v="68"/>
  </r>
  <r>
    <n v="10070"/>
    <x v="69"/>
    <n v="1241"/>
    <x v="0"/>
    <x v="1"/>
    <n v="7"/>
    <n v="567.75"/>
    <n v="0.16"/>
    <x v="1"/>
    <n v="1"/>
    <n v="4.5"/>
    <x v="69"/>
  </r>
  <r>
    <n v="10071"/>
    <x v="70"/>
    <n v="1776"/>
    <x v="3"/>
    <x v="0"/>
    <n v="1"/>
    <n v="18.59"/>
    <n v="0.3"/>
    <x v="1"/>
    <n v="1"/>
    <n v="1.8"/>
    <x v="70"/>
  </r>
  <r>
    <n v="10072"/>
    <x v="71"/>
    <n v="1345"/>
    <x v="2"/>
    <x v="3"/>
    <n v="3"/>
    <n v="286.52"/>
    <n v="0.25"/>
    <x v="1"/>
    <n v="4"/>
    <n v="1.7"/>
    <x v="71"/>
  </r>
  <r>
    <n v="10073"/>
    <x v="72"/>
    <n v="1564"/>
    <x v="2"/>
    <x v="3"/>
    <n v="3"/>
    <n v="29.42"/>
    <n v="0.01"/>
    <x v="0"/>
    <n v="4"/>
    <n v="4.2"/>
    <x v="72"/>
  </r>
  <r>
    <n v="10074"/>
    <x v="73"/>
    <n v="1897"/>
    <x v="3"/>
    <x v="1"/>
    <n v="2"/>
    <n v="546.59"/>
    <n v="0.1"/>
    <x v="1"/>
    <n v="10"/>
    <n v="2.2999999999999998"/>
    <x v="73"/>
  </r>
  <r>
    <n v="10075"/>
    <x v="74"/>
    <n v="1339"/>
    <x v="1"/>
    <x v="2"/>
    <n v="1"/>
    <n v="318.27"/>
    <n v="0.3"/>
    <x v="2"/>
    <n v="11"/>
    <n v="3"/>
    <x v="74"/>
  </r>
  <r>
    <n v="10076"/>
    <x v="75"/>
    <n v="1091"/>
    <x v="2"/>
    <x v="1"/>
    <n v="6"/>
    <n v="58.84"/>
    <n v="0.01"/>
    <x v="1"/>
    <n v="6"/>
    <n v="4"/>
    <x v="75"/>
  </r>
  <r>
    <n v="10077"/>
    <x v="76"/>
    <n v="1366"/>
    <x v="1"/>
    <x v="2"/>
    <n v="1"/>
    <n v="79.510000000000005"/>
    <n v="0.19"/>
    <x v="1"/>
    <n v="10"/>
    <n v="2.6"/>
    <x v="76"/>
  </r>
  <r>
    <n v="10078"/>
    <x v="77"/>
    <n v="1955"/>
    <x v="0"/>
    <x v="1"/>
    <n v="5"/>
    <n v="239.35"/>
    <n v="0.25"/>
    <x v="1"/>
    <n v="3"/>
    <n v="1.5"/>
    <x v="77"/>
  </r>
  <r>
    <n v="10079"/>
    <x v="78"/>
    <n v="1454"/>
    <x v="1"/>
    <x v="0"/>
    <n v="3"/>
    <n v="565.04"/>
    <n v="0.22"/>
    <x v="1"/>
    <n v="10"/>
    <n v="3.7"/>
    <x v="78"/>
  </r>
  <r>
    <n v="10080"/>
    <x v="79"/>
    <n v="1427"/>
    <x v="1"/>
    <x v="3"/>
    <n v="6"/>
    <n v="420.35"/>
    <n v="0.27"/>
    <x v="0"/>
    <n v="6"/>
    <n v="4.3"/>
    <x v="79"/>
  </r>
  <r>
    <n v="10081"/>
    <x v="80"/>
    <n v="1508"/>
    <x v="1"/>
    <x v="1"/>
    <n v="7"/>
    <n v="522.55999999999995"/>
    <n v="0.25"/>
    <x v="0"/>
    <n v="7"/>
    <n v="1.1000000000000001"/>
    <x v="80"/>
  </r>
  <r>
    <n v="10082"/>
    <x v="81"/>
    <n v="1775"/>
    <x v="2"/>
    <x v="0"/>
    <n v="7"/>
    <n v="229.38"/>
    <n v="0.24"/>
    <x v="2"/>
    <n v="11"/>
    <n v="3.3"/>
    <x v="81"/>
  </r>
  <r>
    <n v="10083"/>
    <x v="82"/>
    <n v="1942"/>
    <x v="1"/>
    <x v="1"/>
    <n v="3"/>
    <n v="40.28"/>
    <n v="0.28999999999999998"/>
    <x v="1"/>
    <n v="1"/>
    <n v="2.9"/>
    <x v="82"/>
  </r>
  <r>
    <n v="10084"/>
    <x v="83"/>
    <n v="1034"/>
    <x v="1"/>
    <x v="3"/>
    <n v="1"/>
    <n v="584.98"/>
    <n v="0.23"/>
    <x v="2"/>
    <n v="6"/>
    <n v="2"/>
    <x v="83"/>
  </r>
  <r>
    <n v="10085"/>
    <x v="84"/>
    <n v="1205"/>
    <x v="2"/>
    <x v="1"/>
    <n v="6"/>
    <n v="25.05"/>
    <n v="0.14000000000000001"/>
    <x v="1"/>
    <n v="10"/>
    <n v="1.6"/>
    <x v="84"/>
  </r>
  <r>
    <n v="10086"/>
    <x v="85"/>
    <n v="1080"/>
    <x v="3"/>
    <x v="2"/>
    <n v="2"/>
    <n v="569.38"/>
    <n v="0.17"/>
    <x v="1"/>
    <n v="1"/>
    <n v="1.8"/>
    <x v="85"/>
  </r>
  <r>
    <n v="10087"/>
    <x v="86"/>
    <n v="1931"/>
    <x v="1"/>
    <x v="3"/>
    <n v="7"/>
    <n v="230.68"/>
    <n v="0.25"/>
    <x v="2"/>
    <n v="7"/>
    <n v="3.9"/>
    <x v="86"/>
  </r>
  <r>
    <n v="10088"/>
    <x v="87"/>
    <n v="1561"/>
    <x v="3"/>
    <x v="2"/>
    <n v="1"/>
    <n v="20.9"/>
    <n v="0.31"/>
    <x v="2"/>
    <n v="10"/>
    <n v="3.1"/>
    <x v="87"/>
  </r>
  <r>
    <n v="10089"/>
    <x v="88"/>
    <n v="1871"/>
    <x v="0"/>
    <x v="0"/>
    <n v="2"/>
    <n v="418.16"/>
    <n v="0.1"/>
    <x v="1"/>
    <n v="5"/>
    <n v="4.9000000000000004"/>
    <x v="88"/>
  </r>
  <r>
    <n v="10090"/>
    <x v="89"/>
    <n v="1387"/>
    <x v="2"/>
    <x v="0"/>
    <n v="6"/>
    <n v="588.62"/>
    <n v="0.12"/>
    <x v="1"/>
    <n v="10"/>
    <n v="2"/>
    <x v="89"/>
  </r>
  <r>
    <n v="10091"/>
    <x v="90"/>
    <n v="1001"/>
    <x v="3"/>
    <x v="1"/>
    <n v="3"/>
    <n v="579.89"/>
    <n v="0.33"/>
    <x v="0"/>
    <n v="4"/>
    <n v="4.8"/>
    <x v="90"/>
  </r>
  <r>
    <n v="10092"/>
    <x v="91"/>
    <n v="1389"/>
    <x v="1"/>
    <x v="2"/>
    <n v="5"/>
    <n v="109.15"/>
    <n v="0.2"/>
    <x v="1"/>
    <n v="1"/>
    <n v="3.1"/>
    <x v="91"/>
  </r>
  <r>
    <n v="10093"/>
    <x v="92"/>
    <n v="1565"/>
    <x v="0"/>
    <x v="2"/>
    <n v="4"/>
    <n v="121.03"/>
    <n v="0.06"/>
    <x v="0"/>
    <n v="9"/>
    <n v="1.6"/>
    <x v="92"/>
  </r>
  <r>
    <n v="10094"/>
    <x v="93"/>
    <n v="1105"/>
    <x v="2"/>
    <x v="3"/>
    <n v="3"/>
    <n v="345.84"/>
    <n v="0.23"/>
    <x v="0"/>
    <n v="7"/>
    <n v="1.6"/>
    <x v="93"/>
  </r>
  <r>
    <n v="10095"/>
    <x v="94"/>
    <n v="1771"/>
    <x v="3"/>
    <x v="2"/>
    <n v="2"/>
    <n v="387.82"/>
    <n v="0.35"/>
    <x v="2"/>
    <n v="2"/>
    <n v="3.4"/>
    <x v="94"/>
  </r>
  <r>
    <n v="10096"/>
    <x v="95"/>
    <n v="1821"/>
    <x v="1"/>
    <x v="2"/>
    <n v="1"/>
    <n v="447.56"/>
    <n v="0.28999999999999998"/>
    <x v="1"/>
    <n v="4"/>
    <n v="4.3"/>
    <x v="95"/>
  </r>
  <r>
    <n v="10097"/>
    <x v="96"/>
    <n v="1476"/>
    <x v="2"/>
    <x v="3"/>
    <n v="7"/>
    <n v="120.91"/>
    <n v="0.26"/>
    <x v="2"/>
    <n v="4"/>
    <n v="4"/>
    <x v="96"/>
  </r>
  <r>
    <n v="10098"/>
    <x v="97"/>
    <n v="1702"/>
    <x v="2"/>
    <x v="3"/>
    <n v="6"/>
    <n v="576.02"/>
    <n v="7.0000000000000007E-2"/>
    <x v="1"/>
    <n v="8"/>
    <n v="3.6"/>
    <x v="97"/>
  </r>
  <r>
    <n v="10099"/>
    <x v="98"/>
    <n v="1401"/>
    <x v="3"/>
    <x v="2"/>
    <n v="3"/>
    <n v="388.66"/>
    <n v="0.31"/>
    <x v="1"/>
    <n v="2"/>
    <n v="1.7"/>
    <x v="98"/>
  </r>
  <r>
    <n v="10100"/>
    <x v="99"/>
    <n v="1729"/>
    <x v="3"/>
    <x v="1"/>
    <n v="7"/>
    <n v="510.52"/>
    <n v="0.18"/>
    <x v="2"/>
    <n v="11"/>
    <n v="1.4"/>
    <x v="99"/>
  </r>
  <r>
    <n v="10101"/>
    <x v="100"/>
    <n v="1555"/>
    <x v="2"/>
    <x v="3"/>
    <n v="7"/>
    <n v="330.94"/>
    <n v="0.31"/>
    <x v="1"/>
    <n v="5"/>
    <n v="1"/>
    <x v="100"/>
  </r>
  <r>
    <n v="10102"/>
    <x v="101"/>
    <n v="1161"/>
    <x v="1"/>
    <x v="3"/>
    <n v="5"/>
    <n v="257.35000000000002"/>
    <n v="0.12"/>
    <x v="1"/>
    <n v="10"/>
    <n v="1.4"/>
    <x v="101"/>
  </r>
  <r>
    <n v="10103"/>
    <x v="102"/>
    <n v="1201"/>
    <x v="1"/>
    <x v="2"/>
    <n v="6"/>
    <n v="586.65"/>
    <n v="0.02"/>
    <x v="2"/>
    <n v="8"/>
    <n v="4.0999999999999996"/>
    <x v="102"/>
  </r>
  <r>
    <n v="10104"/>
    <x v="103"/>
    <n v="1957"/>
    <x v="3"/>
    <x v="2"/>
    <n v="2"/>
    <n v="355.54"/>
    <n v="0.17"/>
    <x v="2"/>
    <n v="6"/>
    <n v="4.5999999999999996"/>
    <x v="103"/>
  </r>
  <r>
    <n v="10105"/>
    <x v="104"/>
    <n v="1995"/>
    <x v="2"/>
    <x v="3"/>
    <n v="6"/>
    <n v="522.12"/>
    <n v="0.09"/>
    <x v="1"/>
    <n v="4"/>
    <n v="2"/>
    <x v="104"/>
  </r>
  <r>
    <n v="10106"/>
    <x v="105"/>
    <n v="1269"/>
    <x v="0"/>
    <x v="2"/>
    <n v="6"/>
    <n v="572.67999999999995"/>
    <n v="0.25"/>
    <x v="1"/>
    <n v="5"/>
    <n v="4.2"/>
    <x v="105"/>
  </r>
  <r>
    <n v="10107"/>
    <x v="106"/>
    <n v="1862"/>
    <x v="2"/>
    <x v="3"/>
    <n v="1"/>
    <n v="410.08"/>
    <n v="0.33"/>
    <x v="1"/>
    <n v="2"/>
    <n v="1.8"/>
    <x v="106"/>
  </r>
  <r>
    <n v="10108"/>
    <x v="107"/>
    <n v="1815"/>
    <x v="1"/>
    <x v="1"/>
    <n v="4"/>
    <n v="336.13"/>
    <n v="0.24"/>
    <x v="1"/>
    <n v="5"/>
    <n v="2"/>
    <x v="107"/>
  </r>
  <r>
    <n v="10109"/>
    <x v="108"/>
    <n v="1270"/>
    <x v="2"/>
    <x v="1"/>
    <n v="7"/>
    <n v="17.05"/>
    <n v="0.31"/>
    <x v="2"/>
    <n v="3"/>
    <n v="1.9"/>
    <x v="108"/>
  </r>
  <r>
    <n v="10110"/>
    <x v="109"/>
    <n v="1455"/>
    <x v="2"/>
    <x v="3"/>
    <n v="2"/>
    <n v="38.409999999999997"/>
    <n v="0.16"/>
    <x v="2"/>
    <n v="3"/>
    <n v="1.2"/>
    <x v="109"/>
  </r>
  <r>
    <n v="10111"/>
    <x v="110"/>
    <n v="1461"/>
    <x v="1"/>
    <x v="3"/>
    <n v="1"/>
    <n v="132.5"/>
    <n v="0.27"/>
    <x v="2"/>
    <n v="7"/>
    <n v="1.8"/>
    <x v="110"/>
  </r>
  <r>
    <n v="10112"/>
    <x v="111"/>
    <n v="1726"/>
    <x v="2"/>
    <x v="0"/>
    <n v="7"/>
    <n v="123.81"/>
    <n v="0.3"/>
    <x v="1"/>
    <n v="3"/>
    <n v="2.5"/>
    <x v="111"/>
  </r>
  <r>
    <n v="10113"/>
    <x v="112"/>
    <n v="1251"/>
    <x v="3"/>
    <x v="0"/>
    <n v="4"/>
    <n v="164.03"/>
    <n v="0.25"/>
    <x v="1"/>
    <n v="4"/>
    <n v="2.6"/>
    <x v="112"/>
  </r>
  <r>
    <n v="10114"/>
    <x v="113"/>
    <n v="1701"/>
    <x v="2"/>
    <x v="2"/>
    <n v="1"/>
    <n v="193.39"/>
    <n v="0.18"/>
    <x v="1"/>
    <n v="7"/>
    <n v="2.2000000000000002"/>
    <x v="113"/>
  </r>
  <r>
    <n v="10115"/>
    <x v="114"/>
    <n v="1295"/>
    <x v="1"/>
    <x v="2"/>
    <n v="4"/>
    <n v="225.64"/>
    <n v="0.22"/>
    <x v="1"/>
    <n v="3"/>
    <n v="3.1"/>
    <x v="114"/>
  </r>
  <r>
    <n v="10116"/>
    <x v="115"/>
    <n v="1724"/>
    <x v="2"/>
    <x v="3"/>
    <n v="4"/>
    <n v="261.01"/>
    <n v="0.25"/>
    <x v="1"/>
    <n v="10"/>
    <n v="2.5"/>
    <x v="115"/>
  </r>
  <r>
    <n v="10117"/>
    <x v="116"/>
    <n v="1719"/>
    <x v="2"/>
    <x v="3"/>
    <n v="4"/>
    <n v="72.84"/>
    <n v="0.09"/>
    <x v="1"/>
    <n v="10"/>
    <n v="4.9000000000000004"/>
    <x v="116"/>
  </r>
  <r>
    <n v="10118"/>
    <x v="117"/>
    <n v="1748"/>
    <x v="2"/>
    <x v="0"/>
    <n v="1"/>
    <n v="39.78"/>
    <n v="0.28000000000000003"/>
    <x v="1"/>
    <n v="2"/>
    <n v="4.2"/>
    <x v="117"/>
  </r>
  <r>
    <n v="10119"/>
    <x v="118"/>
    <n v="1337"/>
    <x v="1"/>
    <x v="0"/>
    <n v="6"/>
    <n v="409.26"/>
    <n v="0.33"/>
    <x v="2"/>
    <n v="10"/>
    <n v="4.7"/>
    <x v="118"/>
  </r>
  <r>
    <n v="10120"/>
    <x v="119"/>
    <n v="1878"/>
    <x v="1"/>
    <x v="3"/>
    <n v="4"/>
    <n v="329.34"/>
    <n v="0.16"/>
    <x v="2"/>
    <n v="7"/>
    <n v="3.2"/>
    <x v="119"/>
  </r>
  <r>
    <n v="10121"/>
    <x v="120"/>
    <n v="1052"/>
    <x v="1"/>
    <x v="1"/>
    <n v="6"/>
    <n v="274.82"/>
    <n v="0.25"/>
    <x v="2"/>
    <n v="5"/>
    <n v="3.7"/>
    <x v="120"/>
  </r>
  <r>
    <n v="10122"/>
    <x v="121"/>
    <n v="1791"/>
    <x v="1"/>
    <x v="1"/>
    <n v="7"/>
    <n v="386.15"/>
    <n v="0.26"/>
    <x v="1"/>
    <n v="1"/>
    <n v="1.7"/>
    <x v="121"/>
  </r>
  <r>
    <n v="10123"/>
    <x v="122"/>
    <n v="1921"/>
    <x v="1"/>
    <x v="2"/>
    <n v="7"/>
    <n v="499.19"/>
    <n v="0.23"/>
    <x v="0"/>
    <n v="10"/>
    <n v="4"/>
    <x v="122"/>
  </r>
  <r>
    <n v="10124"/>
    <x v="123"/>
    <n v="1216"/>
    <x v="2"/>
    <x v="3"/>
    <n v="2"/>
    <n v="265.2"/>
    <n v="0.19"/>
    <x v="0"/>
    <n v="8"/>
    <n v="1.9"/>
    <x v="123"/>
  </r>
  <r>
    <n v="10125"/>
    <x v="124"/>
    <n v="1763"/>
    <x v="1"/>
    <x v="3"/>
    <n v="5"/>
    <n v="390.05"/>
    <n v="0.31"/>
    <x v="1"/>
    <n v="3"/>
    <n v="1.6"/>
    <x v="124"/>
  </r>
  <r>
    <n v="10126"/>
    <x v="125"/>
    <n v="1187"/>
    <x v="0"/>
    <x v="2"/>
    <n v="6"/>
    <n v="572.84"/>
    <n v="0.16"/>
    <x v="2"/>
    <n v="11"/>
    <n v="1.2"/>
    <x v="125"/>
  </r>
  <r>
    <n v="10127"/>
    <x v="126"/>
    <n v="1379"/>
    <x v="1"/>
    <x v="0"/>
    <n v="7"/>
    <n v="506.18"/>
    <n v="0.02"/>
    <x v="0"/>
    <n v="7"/>
    <n v="2.9"/>
    <x v="126"/>
  </r>
  <r>
    <n v="10128"/>
    <x v="127"/>
    <n v="1492"/>
    <x v="3"/>
    <x v="0"/>
    <n v="5"/>
    <n v="264.20999999999998"/>
    <n v="0.3"/>
    <x v="2"/>
    <n v="6"/>
    <n v="2.1"/>
    <x v="127"/>
  </r>
  <r>
    <n v="10129"/>
    <x v="128"/>
    <n v="1040"/>
    <x v="2"/>
    <x v="1"/>
    <n v="4"/>
    <n v="392.16"/>
    <n v="0.24"/>
    <x v="1"/>
    <n v="10"/>
    <n v="4.9000000000000004"/>
    <x v="128"/>
  </r>
  <r>
    <n v="10130"/>
    <x v="129"/>
    <n v="1156"/>
    <x v="3"/>
    <x v="3"/>
    <n v="5"/>
    <n v="118.59"/>
    <n v="0.3"/>
    <x v="2"/>
    <n v="6"/>
    <n v="2"/>
    <x v="129"/>
  </r>
  <r>
    <n v="10131"/>
    <x v="130"/>
    <n v="1014"/>
    <x v="3"/>
    <x v="0"/>
    <n v="5"/>
    <n v="342.91"/>
    <n v="0.05"/>
    <x v="2"/>
    <n v="8"/>
    <n v="4.5"/>
    <x v="130"/>
  </r>
  <r>
    <n v="10132"/>
    <x v="131"/>
    <n v="1812"/>
    <x v="1"/>
    <x v="1"/>
    <n v="4"/>
    <n v="589.08000000000004"/>
    <n v="0.01"/>
    <x v="1"/>
    <n v="4"/>
    <n v="2.2999999999999998"/>
    <x v="131"/>
  </r>
  <r>
    <n v="10133"/>
    <x v="132"/>
    <n v="1064"/>
    <x v="0"/>
    <x v="1"/>
    <n v="6"/>
    <n v="318.20999999999998"/>
    <n v="0.33"/>
    <x v="0"/>
    <n v="4"/>
    <n v="4"/>
    <x v="132"/>
  </r>
  <r>
    <n v="10134"/>
    <x v="133"/>
    <n v="1856"/>
    <x v="2"/>
    <x v="1"/>
    <n v="4"/>
    <n v="557.66999999999996"/>
    <n v="0.05"/>
    <x v="2"/>
    <n v="3"/>
    <n v="3.6"/>
    <x v="133"/>
  </r>
  <r>
    <n v="10135"/>
    <x v="134"/>
    <n v="1838"/>
    <x v="2"/>
    <x v="0"/>
    <n v="2"/>
    <n v="253.29"/>
    <n v="0.28000000000000003"/>
    <x v="1"/>
    <n v="1"/>
    <n v="3.2"/>
    <x v="134"/>
  </r>
  <r>
    <n v="10136"/>
    <x v="135"/>
    <n v="1520"/>
    <x v="3"/>
    <x v="0"/>
    <n v="3"/>
    <n v="599.32000000000005"/>
    <n v="0.28999999999999998"/>
    <x v="2"/>
    <n v="10"/>
    <n v="2.7"/>
    <x v="135"/>
  </r>
  <r>
    <n v="10137"/>
    <x v="136"/>
    <n v="1343"/>
    <x v="3"/>
    <x v="3"/>
    <n v="1"/>
    <n v="353.84"/>
    <n v="0.25"/>
    <x v="2"/>
    <n v="3"/>
    <n v="3.7"/>
    <x v="136"/>
  </r>
  <r>
    <n v="10138"/>
    <x v="137"/>
    <n v="1128"/>
    <x v="2"/>
    <x v="3"/>
    <n v="4"/>
    <n v="39.729999999999997"/>
    <n v="0.05"/>
    <x v="1"/>
    <n v="1"/>
    <n v="2.6"/>
    <x v="137"/>
  </r>
  <r>
    <n v="10139"/>
    <x v="138"/>
    <n v="1647"/>
    <x v="2"/>
    <x v="1"/>
    <n v="4"/>
    <n v="358.25"/>
    <n v="0.23"/>
    <x v="1"/>
    <n v="6"/>
    <n v="3.2"/>
    <x v="138"/>
  </r>
  <r>
    <n v="10140"/>
    <x v="139"/>
    <n v="1471"/>
    <x v="2"/>
    <x v="1"/>
    <n v="5"/>
    <n v="175.63"/>
    <n v="0.31"/>
    <x v="0"/>
    <n v="8"/>
    <n v="3.4"/>
    <x v="139"/>
  </r>
  <r>
    <n v="10141"/>
    <x v="140"/>
    <n v="1062"/>
    <x v="2"/>
    <x v="0"/>
    <n v="2"/>
    <n v="34"/>
    <n v="0.15"/>
    <x v="2"/>
    <n v="3"/>
    <n v="2.1"/>
    <x v="140"/>
  </r>
  <r>
    <n v="10142"/>
    <x v="141"/>
    <n v="1138"/>
    <x v="3"/>
    <x v="0"/>
    <n v="7"/>
    <n v="495.2"/>
    <n v="0.14000000000000001"/>
    <x v="1"/>
    <n v="4"/>
    <n v="2.4"/>
    <x v="141"/>
  </r>
  <r>
    <n v="10143"/>
    <x v="142"/>
    <n v="1498"/>
    <x v="1"/>
    <x v="3"/>
    <n v="7"/>
    <n v="176.3"/>
    <n v="0.16"/>
    <x v="1"/>
    <n v="5"/>
    <n v="1.1000000000000001"/>
    <x v="142"/>
  </r>
  <r>
    <n v="10144"/>
    <x v="143"/>
    <n v="1592"/>
    <x v="2"/>
    <x v="3"/>
    <n v="5"/>
    <n v="480.98"/>
    <n v="0.03"/>
    <x v="2"/>
    <n v="7"/>
    <n v="4.4000000000000004"/>
    <x v="143"/>
  </r>
  <r>
    <n v="10145"/>
    <x v="144"/>
    <n v="1391"/>
    <x v="1"/>
    <x v="2"/>
    <n v="6"/>
    <n v="183.61"/>
    <n v="0.31"/>
    <x v="2"/>
    <n v="11"/>
    <n v="4"/>
    <x v="144"/>
  </r>
  <r>
    <n v="10146"/>
    <x v="145"/>
    <n v="1674"/>
    <x v="2"/>
    <x v="3"/>
    <n v="4"/>
    <n v="128.68"/>
    <n v="0.3"/>
    <x v="1"/>
    <n v="6"/>
    <n v="1.7"/>
    <x v="145"/>
  </r>
  <r>
    <n v="10147"/>
    <x v="146"/>
    <n v="1418"/>
    <x v="2"/>
    <x v="0"/>
    <n v="4"/>
    <n v="584.75"/>
    <n v="0.35"/>
    <x v="2"/>
    <n v="2"/>
    <n v="2.4"/>
    <x v="146"/>
  </r>
  <r>
    <n v="10148"/>
    <x v="147"/>
    <n v="1288"/>
    <x v="1"/>
    <x v="1"/>
    <n v="5"/>
    <n v="226.56"/>
    <n v="0.2"/>
    <x v="1"/>
    <n v="7"/>
    <n v="2.7"/>
    <x v="147"/>
  </r>
  <r>
    <n v="10149"/>
    <x v="148"/>
    <n v="1378"/>
    <x v="0"/>
    <x v="2"/>
    <n v="4"/>
    <n v="366.81"/>
    <n v="0.26"/>
    <x v="1"/>
    <n v="8"/>
    <n v="2.2999999999999998"/>
    <x v="148"/>
  </r>
  <r>
    <n v="10150"/>
    <x v="149"/>
    <n v="1772"/>
    <x v="3"/>
    <x v="3"/>
    <n v="6"/>
    <n v="371.84"/>
    <n v="7.0000000000000007E-2"/>
    <x v="2"/>
    <n v="1"/>
    <n v="4.2"/>
    <x v="149"/>
  </r>
  <r>
    <n v="10151"/>
    <x v="150"/>
    <n v="1489"/>
    <x v="2"/>
    <x v="3"/>
    <n v="3"/>
    <n v="342.88"/>
    <n v="0.23"/>
    <x v="1"/>
    <n v="6"/>
    <n v="3.9"/>
    <x v="150"/>
  </r>
  <r>
    <n v="10152"/>
    <x v="151"/>
    <n v="1230"/>
    <x v="0"/>
    <x v="0"/>
    <n v="1"/>
    <n v="550.1"/>
    <n v="0.23"/>
    <x v="0"/>
    <n v="11"/>
    <n v="4.0999999999999996"/>
    <x v="151"/>
  </r>
  <r>
    <n v="10153"/>
    <x v="152"/>
    <n v="1040"/>
    <x v="3"/>
    <x v="2"/>
    <n v="1"/>
    <n v="409.55"/>
    <n v="0.32"/>
    <x v="1"/>
    <n v="9"/>
    <n v="4.5999999999999996"/>
    <x v="152"/>
  </r>
  <r>
    <n v="10154"/>
    <x v="153"/>
    <n v="1027"/>
    <x v="3"/>
    <x v="3"/>
    <n v="1"/>
    <n v="251.18"/>
    <n v="0.28999999999999998"/>
    <x v="2"/>
    <n v="7"/>
    <n v="3.4"/>
    <x v="153"/>
  </r>
  <r>
    <n v="10155"/>
    <x v="154"/>
    <n v="1134"/>
    <x v="1"/>
    <x v="1"/>
    <n v="3"/>
    <n v="519.49"/>
    <n v="0.33"/>
    <x v="1"/>
    <n v="5"/>
    <n v="3.5"/>
    <x v="154"/>
  </r>
  <r>
    <n v="10156"/>
    <x v="155"/>
    <n v="1200"/>
    <x v="1"/>
    <x v="0"/>
    <n v="4"/>
    <n v="120.92"/>
    <n v="0.3"/>
    <x v="1"/>
    <n v="10"/>
    <n v="3.9"/>
    <x v="155"/>
  </r>
  <r>
    <n v="10157"/>
    <x v="156"/>
    <n v="1839"/>
    <x v="2"/>
    <x v="2"/>
    <n v="5"/>
    <n v="333.38"/>
    <n v="0.3"/>
    <x v="2"/>
    <n v="11"/>
    <n v="3.7"/>
    <x v="156"/>
  </r>
  <r>
    <n v="10158"/>
    <x v="157"/>
    <n v="1779"/>
    <x v="2"/>
    <x v="3"/>
    <n v="7"/>
    <n v="571.07000000000005"/>
    <n v="0.02"/>
    <x v="2"/>
    <n v="10"/>
    <n v="4.5"/>
    <x v="157"/>
  </r>
  <r>
    <n v="10159"/>
    <x v="158"/>
    <n v="1929"/>
    <x v="2"/>
    <x v="3"/>
    <n v="2"/>
    <n v="380.86"/>
    <n v="0.3"/>
    <x v="2"/>
    <n v="9"/>
    <n v="4.0999999999999996"/>
    <x v="158"/>
  </r>
  <r>
    <n v="10160"/>
    <x v="159"/>
    <n v="1032"/>
    <x v="2"/>
    <x v="2"/>
    <n v="4"/>
    <n v="492.93"/>
    <n v="0.21"/>
    <x v="2"/>
    <n v="2"/>
    <n v="1.5"/>
    <x v="159"/>
  </r>
  <r>
    <n v="10161"/>
    <x v="160"/>
    <n v="1047"/>
    <x v="1"/>
    <x v="0"/>
    <n v="3"/>
    <n v="397.33"/>
    <n v="0.13"/>
    <x v="2"/>
    <n v="7"/>
    <n v="4.7"/>
    <x v="160"/>
  </r>
  <r>
    <n v="10162"/>
    <x v="161"/>
    <n v="1502"/>
    <x v="3"/>
    <x v="2"/>
    <n v="6"/>
    <n v="506.03"/>
    <n v="0.02"/>
    <x v="2"/>
    <n v="9"/>
    <n v="3.7"/>
    <x v="161"/>
  </r>
  <r>
    <n v="10163"/>
    <x v="162"/>
    <n v="1406"/>
    <x v="1"/>
    <x v="2"/>
    <n v="3"/>
    <n v="567.53"/>
    <n v="0.24"/>
    <x v="2"/>
    <n v="2"/>
    <n v="1.5"/>
    <x v="162"/>
  </r>
  <r>
    <n v="10164"/>
    <x v="163"/>
    <n v="1573"/>
    <x v="2"/>
    <x v="0"/>
    <n v="7"/>
    <n v="174.66"/>
    <n v="0.11"/>
    <x v="2"/>
    <n v="11"/>
    <n v="4.0999999999999996"/>
    <x v="163"/>
  </r>
  <r>
    <n v="10165"/>
    <x v="164"/>
    <n v="1727"/>
    <x v="0"/>
    <x v="3"/>
    <n v="1"/>
    <n v="114.25"/>
    <n v="0.16"/>
    <x v="2"/>
    <n v="10"/>
    <n v="2.4"/>
    <x v="164"/>
  </r>
  <r>
    <n v="10166"/>
    <x v="165"/>
    <n v="1804"/>
    <x v="0"/>
    <x v="1"/>
    <n v="4"/>
    <n v="298.13"/>
    <n v="0.24"/>
    <x v="0"/>
    <n v="6"/>
    <n v="4.2"/>
    <x v="165"/>
  </r>
  <r>
    <n v="10167"/>
    <x v="166"/>
    <n v="1098"/>
    <x v="3"/>
    <x v="0"/>
    <n v="7"/>
    <n v="425.59"/>
    <n v="0.32"/>
    <x v="1"/>
    <n v="9"/>
    <n v="4.8"/>
    <x v="166"/>
  </r>
  <r>
    <n v="10168"/>
    <x v="167"/>
    <n v="1683"/>
    <x v="0"/>
    <x v="1"/>
    <n v="1"/>
    <n v="147.91"/>
    <n v="0.28999999999999998"/>
    <x v="2"/>
    <n v="3"/>
    <n v="2"/>
    <x v="167"/>
  </r>
  <r>
    <n v="10169"/>
    <x v="168"/>
    <n v="1871"/>
    <x v="1"/>
    <x v="3"/>
    <n v="2"/>
    <n v="17.399999999999999"/>
    <n v="0.16"/>
    <x v="1"/>
    <n v="8"/>
    <n v="4.4000000000000004"/>
    <x v="168"/>
  </r>
  <r>
    <n v="10170"/>
    <x v="169"/>
    <n v="1725"/>
    <x v="0"/>
    <x v="2"/>
    <n v="6"/>
    <n v="215.62"/>
    <n v="0.14000000000000001"/>
    <x v="1"/>
    <n v="5"/>
    <n v="4.0999999999999996"/>
    <x v="169"/>
  </r>
  <r>
    <n v="10171"/>
    <x v="170"/>
    <n v="1986"/>
    <x v="2"/>
    <x v="1"/>
    <n v="1"/>
    <n v="581.78"/>
    <n v="0.08"/>
    <x v="1"/>
    <n v="7"/>
    <n v="3.7"/>
    <x v="170"/>
  </r>
  <r>
    <n v="10172"/>
    <x v="171"/>
    <n v="1546"/>
    <x v="1"/>
    <x v="3"/>
    <n v="2"/>
    <n v="421.56"/>
    <n v="0.13"/>
    <x v="0"/>
    <n v="3"/>
    <n v="2.5"/>
    <x v="171"/>
  </r>
  <r>
    <n v="10173"/>
    <x v="172"/>
    <n v="1960"/>
    <x v="2"/>
    <x v="3"/>
    <n v="3"/>
    <n v="249.78"/>
    <n v="0.04"/>
    <x v="2"/>
    <n v="8"/>
    <n v="1.4"/>
    <x v="172"/>
  </r>
  <r>
    <n v="10174"/>
    <x v="173"/>
    <n v="1738"/>
    <x v="2"/>
    <x v="2"/>
    <n v="1"/>
    <n v="127.66"/>
    <n v="0.34"/>
    <x v="2"/>
    <n v="2"/>
    <n v="2.9"/>
    <x v="173"/>
  </r>
  <r>
    <n v="10175"/>
    <x v="174"/>
    <n v="1612"/>
    <x v="2"/>
    <x v="2"/>
    <n v="1"/>
    <n v="223.31"/>
    <n v="0.2"/>
    <x v="1"/>
    <n v="8"/>
    <n v="1.4"/>
    <x v="174"/>
  </r>
  <r>
    <n v="10176"/>
    <x v="175"/>
    <n v="1942"/>
    <x v="1"/>
    <x v="3"/>
    <n v="5"/>
    <n v="114.36"/>
    <n v="0.04"/>
    <x v="2"/>
    <n v="2"/>
    <n v="3"/>
    <x v="175"/>
  </r>
  <r>
    <n v="10177"/>
    <x v="176"/>
    <n v="1461"/>
    <x v="3"/>
    <x v="3"/>
    <n v="6"/>
    <n v="77.19"/>
    <n v="0.12"/>
    <x v="0"/>
    <n v="7"/>
    <n v="4.3"/>
    <x v="176"/>
  </r>
  <r>
    <n v="10178"/>
    <x v="177"/>
    <n v="1642"/>
    <x v="1"/>
    <x v="1"/>
    <n v="6"/>
    <n v="545.44000000000005"/>
    <n v="0.19"/>
    <x v="1"/>
    <n v="2"/>
    <n v="5"/>
    <x v="177"/>
  </r>
  <r>
    <n v="10179"/>
    <x v="178"/>
    <n v="1768"/>
    <x v="2"/>
    <x v="3"/>
    <n v="7"/>
    <n v="598.63"/>
    <n v="0.19"/>
    <x v="1"/>
    <n v="7"/>
    <n v="1.8"/>
    <x v="178"/>
  </r>
  <r>
    <n v="10180"/>
    <x v="179"/>
    <n v="1004"/>
    <x v="3"/>
    <x v="3"/>
    <n v="3"/>
    <n v="111.01"/>
    <n v="0.01"/>
    <x v="1"/>
    <n v="1"/>
    <n v="1.8"/>
    <x v="179"/>
  </r>
  <r>
    <n v="10181"/>
    <x v="180"/>
    <n v="1217"/>
    <x v="1"/>
    <x v="1"/>
    <n v="5"/>
    <n v="46.9"/>
    <n v="0.33"/>
    <x v="2"/>
    <n v="6"/>
    <n v="4.2"/>
    <x v="180"/>
  </r>
  <r>
    <n v="10182"/>
    <x v="181"/>
    <n v="1502"/>
    <x v="1"/>
    <x v="0"/>
    <n v="7"/>
    <n v="207.89"/>
    <n v="0.1"/>
    <x v="2"/>
    <n v="10"/>
    <n v="2.9"/>
    <x v="181"/>
  </r>
  <r>
    <n v="10183"/>
    <x v="182"/>
    <n v="1766"/>
    <x v="3"/>
    <x v="1"/>
    <n v="2"/>
    <n v="285.07"/>
    <n v="0.01"/>
    <x v="2"/>
    <n v="7"/>
    <n v="4.7"/>
    <x v="182"/>
  </r>
  <r>
    <n v="10184"/>
    <x v="183"/>
    <n v="1397"/>
    <x v="2"/>
    <x v="1"/>
    <n v="7"/>
    <n v="134.82"/>
    <n v="0.03"/>
    <x v="2"/>
    <n v="4"/>
    <n v="4.0999999999999996"/>
    <x v="183"/>
  </r>
  <r>
    <n v="10185"/>
    <x v="184"/>
    <n v="1870"/>
    <x v="2"/>
    <x v="2"/>
    <n v="2"/>
    <n v="191.33"/>
    <n v="0.2"/>
    <x v="1"/>
    <n v="11"/>
    <n v="3.9"/>
    <x v="184"/>
  </r>
  <r>
    <n v="10186"/>
    <x v="185"/>
    <n v="1794"/>
    <x v="0"/>
    <x v="1"/>
    <n v="3"/>
    <n v="132.51"/>
    <n v="0.05"/>
    <x v="2"/>
    <n v="11"/>
    <n v="1.4"/>
    <x v="185"/>
  </r>
  <r>
    <n v="10187"/>
    <x v="186"/>
    <n v="1392"/>
    <x v="2"/>
    <x v="3"/>
    <n v="6"/>
    <n v="467.94"/>
    <n v="0.01"/>
    <x v="1"/>
    <n v="1"/>
    <n v="1.1000000000000001"/>
    <x v="186"/>
  </r>
  <r>
    <n v="10188"/>
    <x v="187"/>
    <n v="1206"/>
    <x v="1"/>
    <x v="3"/>
    <n v="2"/>
    <n v="431.86"/>
    <n v="0.13"/>
    <x v="1"/>
    <n v="6"/>
    <n v="2.2999999999999998"/>
    <x v="187"/>
  </r>
  <r>
    <n v="10189"/>
    <x v="188"/>
    <n v="1014"/>
    <x v="0"/>
    <x v="3"/>
    <n v="3"/>
    <n v="386.45"/>
    <n v="0.22"/>
    <x v="2"/>
    <n v="4"/>
    <n v="1.9"/>
    <x v="188"/>
  </r>
  <r>
    <n v="10190"/>
    <x v="189"/>
    <n v="1857"/>
    <x v="3"/>
    <x v="0"/>
    <n v="7"/>
    <n v="241.52"/>
    <n v="0.04"/>
    <x v="0"/>
    <n v="3"/>
    <n v="3.8"/>
    <x v="189"/>
  </r>
  <r>
    <n v="10191"/>
    <x v="190"/>
    <n v="1553"/>
    <x v="2"/>
    <x v="3"/>
    <n v="2"/>
    <n v="546.79"/>
    <n v="0.11"/>
    <x v="2"/>
    <n v="4"/>
    <n v="2.8"/>
    <x v="190"/>
  </r>
  <r>
    <n v="10192"/>
    <x v="191"/>
    <n v="1891"/>
    <x v="2"/>
    <x v="0"/>
    <n v="4"/>
    <n v="582.17999999999995"/>
    <n v="0.15"/>
    <x v="2"/>
    <n v="6"/>
    <n v="3.1"/>
    <x v="191"/>
  </r>
  <r>
    <n v="10193"/>
    <x v="192"/>
    <n v="1460"/>
    <x v="2"/>
    <x v="3"/>
    <n v="1"/>
    <n v="116.58"/>
    <n v="0.06"/>
    <x v="1"/>
    <n v="5"/>
    <n v="4.3"/>
    <x v="192"/>
  </r>
  <r>
    <n v="10194"/>
    <x v="193"/>
    <n v="1690"/>
    <x v="1"/>
    <x v="1"/>
    <n v="7"/>
    <n v="145.46"/>
    <n v="0.18"/>
    <x v="1"/>
    <n v="2"/>
    <n v="2.9"/>
    <x v="193"/>
  </r>
  <r>
    <n v="10195"/>
    <x v="194"/>
    <n v="1574"/>
    <x v="1"/>
    <x v="2"/>
    <n v="6"/>
    <n v="322.49"/>
    <n v="0.03"/>
    <x v="1"/>
    <n v="2"/>
    <n v="3.2"/>
    <x v="194"/>
  </r>
  <r>
    <n v="10196"/>
    <x v="195"/>
    <n v="1863"/>
    <x v="2"/>
    <x v="3"/>
    <n v="7"/>
    <n v="68.38"/>
    <n v="0.02"/>
    <x v="0"/>
    <n v="3"/>
    <n v="4.4000000000000004"/>
    <x v="195"/>
  </r>
  <r>
    <n v="10197"/>
    <x v="196"/>
    <n v="1742"/>
    <x v="0"/>
    <x v="0"/>
    <n v="4"/>
    <n v="270.32"/>
    <n v="0.18"/>
    <x v="0"/>
    <n v="11"/>
    <n v="2.7"/>
    <x v="196"/>
  </r>
  <r>
    <n v="10198"/>
    <x v="197"/>
    <n v="1240"/>
    <x v="1"/>
    <x v="0"/>
    <n v="3"/>
    <n v="355.35"/>
    <n v="0.09"/>
    <x v="0"/>
    <n v="6"/>
    <n v="1.3"/>
    <x v="197"/>
  </r>
  <r>
    <n v="10199"/>
    <x v="198"/>
    <n v="1563"/>
    <x v="2"/>
    <x v="2"/>
    <n v="3"/>
    <n v="320.41000000000003"/>
    <n v="0.03"/>
    <x v="1"/>
    <n v="1"/>
    <n v="3.1"/>
    <x v="198"/>
  </r>
  <r>
    <n v="10200"/>
    <x v="199"/>
    <n v="1095"/>
    <x v="1"/>
    <x v="3"/>
    <n v="7"/>
    <n v="208.58"/>
    <n v="0.15"/>
    <x v="2"/>
    <n v="11"/>
    <n v="3.3"/>
    <x v="199"/>
  </r>
  <r>
    <n v="10201"/>
    <x v="200"/>
    <n v="1899"/>
    <x v="3"/>
    <x v="1"/>
    <n v="4"/>
    <n v="332.33"/>
    <n v="0.32"/>
    <x v="2"/>
    <n v="7"/>
    <n v="3"/>
    <x v="200"/>
  </r>
  <r>
    <n v="10202"/>
    <x v="201"/>
    <n v="1733"/>
    <x v="2"/>
    <x v="3"/>
    <n v="7"/>
    <n v="575.9"/>
    <n v="0.25"/>
    <x v="2"/>
    <n v="8"/>
    <n v="2"/>
    <x v="201"/>
  </r>
  <r>
    <n v="10203"/>
    <x v="202"/>
    <n v="1484"/>
    <x v="2"/>
    <x v="3"/>
    <n v="1"/>
    <n v="135.52000000000001"/>
    <n v="0.28999999999999998"/>
    <x v="2"/>
    <n v="7"/>
    <n v="1.9"/>
    <x v="202"/>
  </r>
  <r>
    <n v="10204"/>
    <x v="203"/>
    <n v="1406"/>
    <x v="3"/>
    <x v="2"/>
    <n v="1"/>
    <n v="398.08"/>
    <n v="0.31"/>
    <x v="2"/>
    <n v="11"/>
    <n v="2.5"/>
    <x v="203"/>
  </r>
  <r>
    <n v="10205"/>
    <x v="204"/>
    <n v="1230"/>
    <x v="1"/>
    <x v="3"/>
    <n v="5"/>
    <n v="40.39"/>
    <n v="0.34"/>
    <x v="1"/>
    <n v="3"/>
    <n v="1.7"/>
    <x v="204"/>
  </r>
  <r>
    <n v="10206"/>
    <x v="205"/>
    <n v="1748"/>
    <x v="1"/>
    <x v="1"/>
    <n v="2"/>
    <n v="53.85"/>
    <n v="0.27"/>
    <x v="1"/>
    <n v="6"/>
    <n v="3.7"/>
    <x v="205"/>
  </r>
  <r>
    <n v="10207"/>
    <x v="206"/>
    <n v="1654"/>
    <x v="1"/>
    <x v="0"/>
    <n v="5"/>
    <n v="337.82"/>
    <n v="0.21"/>
    <x v="1"/>
    <n v="4"/>
    <n v="3.5"/>
    <x v="206"/>
  </r>
  <r>
    <n v="10208"/>
    <x v="207"/>
    <n v="1170"/>
    <x v="2"/>
    <x v="2"/>
    <n v="1"/>
    <n v="76.39"/>
    <n v="0.13"/>
    <x v="1"/>
    <n v="5"/>
    <n v="3.5"/>
    <x v="2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indent="0" outline="1" outlineData="1" showDrill="1" multipleFieldFilters="0" chartFormat="3">
  <location ref="A3:D8" firstHeaderRow="0" firstDataRow="1" firstDataCol="1"/>
  <pivotFields count="14">
    <pivotField showAll="0"/>
    <pivotField axis="axisRow" numFmtId="183" showAll="0">
      <items count="2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showAll="0"/>
    <pivotField axis="axisRow" showAll="0">
      <items count="5">
        <item sd="0" x="0"/>
        <item sd="0" x="1"/>
        <item sd="0" x="2"/>
        <item sd="0" x="3"/>
        <item t="default"/>
      </items>
    </pivotField>
    <pivotField axis="axisRow" showAll="0">
      <items count="5">
        <item h="1" x="1"/>
        <item h="1" x="3"/>
        <item x="0"/>
        <item h="1" x="2"/>
        <item t="default"/>
      </items>
    </pivotField>
    <pivotField showAll="0"/>
    <pivotField dataField="1" showAll="0"/>
    <pivotField showAll="0"/>
    <pivotField axis="axisRow" showAll="0">
      <items count="4">
        <item x="1"/>
        <item h="1" x="2"/>
        <item h="1" x="0"/>
        <item t="default"/>
      </items>
    </pivotField>
    <pivotField dataField="1" showAll="0"/>
    <pivotField showAll="0"/>
    <pivotField dataField="1" showAll="0">
      <items count="209">
        <item x="70"/>
        <item x="87"/>
        <item x="43"/>
        <item x="117"/>
        <item x="168"/>
        <item x="20"/>
        <item x="47"/>
        <item x="140"/>
        <item x="76"/>
        <item x="109"/>
        <item x="207"/>
        <item x="205"/>
        <item x="108"/>
        <item x="59"/>
        <item x="173"/>
        <item x="82"/>
        <item x="72"/>
        <item x="44"/>
        <item x="164"/>
        <item x="202"/>
        <item x="110"/>
        <item x="167"/>
        <item x="192"/>
        <item x="84"/>
        <item x="204"/>
        <item x="23"/>
        <item x="25"/>
        <item x="52"/>
        <item x="137"/>
        <item x="21"/>
        <item x="180"/>
        <item x="113"/>
        <item x="60"/>
        <item x="153"/>
        <item x="174"/>
        <item x="33"/>
        <item x="65"/>
        <item x="74"/>
        <item x="22"/>
        <item x="116"/>
        <item x="136"/>
        <item x="203"/>
        <item x="106"/>
        <item x="152"/>
        <item x="56"/>
        <item x="53"/>
        <item x="1"/>
        <item x="184"/>
        <item x="38"/>
        <item x="62"/>
        <item x="95"/>
        <item x="51"/>
        <item x="179"/>
        <item x="155"/>
        <item x="75"/>
        <item x="32"/>
        <item x="145"/>
        <item x="134"/>
        <item x="49"/>
        <item x="185"/>
        <item x="176"/>
        <item x="129"/>
        <item x="5"/>
        <item x="151"/>
        <item x="123"/>
        <item x="91"/>
        <item x="83"/>
        <item x="92"/>
        <item x="46"/>
        <item x="4"/>
        <item x="195"/>
        <item x="55"/>
        <item x="36"/>
        <item x="112"/>
        <item x="94"/>
        <item x="15"/>
        <item x="158"/>
        <item x="170"/>
        <item x="175"/>
        <item x="182"/>
        <item x="103"/>
        <item x="139"/>
        <item x="111"/>
        <item x="16"/>
        <item x="63"/>
        <item x="96"/>
        <item x="2"/>
        <item x="71"/>
        <item x="61"/>
        <item x="30"/>
        <item x="114"/>
        <item x="172"/>
        <item x="171"/>
        <item x="187"/>
        <item x="88"/>
        <item x="144"/>
        <item x="48"/>
        <item x="115"/>
        <item x="150"/>
        <item x="93"/>
        <item x="98"/>
        <item x="34"/>
        <item x="193"/>
        <item x="41"/>
        <item x="196"/>
        <item x="77"/>
        <item x="200"/>
        <item x="188"/>
        <item x="147"/>
        <item x="165"/>
        <item x="183"/>
        <item x="127"/>
        <item x="198"/>
        <item x="18"/>
        <item x="85"/>
        <item x="197"/>
        <item x="190"/>
        <item x="73"/>
        <item x="8"/>
        <item x="11"/>
        <item x="107"/>
        <item x="27"/>
        <item x="9"/>
        <item x="142"/>
        <item x="160"/>
        <item x="154"/>
        <item x="28"/>
        <item x="37"/>
        <item x="148"/>
        <item x="163"/>
        <item x="138"/>
        <item x="119"/>
        <item x="169"/>
        <item x="67"/>
        <item x="101"/>
        <item x="90"/>
        <item x="156"/>
        <item x="128"/>
        <item x="86"/>
        <item x="81"/>
        <item x="120"/>
        <item x="199"/>
        <item x="135"/>
        <item x="132"/>
        <item x="162"/>
        <item x="181"/>
        <item x="78"/>
        <item x="206"/>
        <item x="124"/>
        <item x="7"/>
        <item x="24"/>
        <item x="40"/>
        <item x="13"/>
        <item x="35"/>
        <item x="146"/>
        <item x="159"/>
        <item x="42"/>
        <item x="100"/>
        <item x="14"/>
        <item x="189"/>
        <item x="130"/>
        <item x="118"/>
        <item x="29"/>
        <item x="54"/>
        <item x="64"/>
        <item x="68"/>
        <item x="19"/>
        <item x="79"/>
        <item x="10"/>
        <item x="194"/>
        <item x="0"/>
        <item x="57"/>
        <item x="191"/>
        <item x="17"/>
        <item x="121"/>
        <item x="166"/>
        <item x="149"/>
        <item x="133"/>
        <item x="143"/>
        <item x="131"/>
        <item x="12"/>
        <item x="45"/>
        <item x="26"/>
        <item x="3"/>
        <item x="105"/>
        <item x="6"/>
        <item x="177"/>
        <item x="50"/>
        <item x="122"/>
        <item x="31"/>
        <item x="80"/>
        <item x="186"/>
        <item x="58"/>
        <item x="104"/>
        <item x="125"/>
        <item x="99"/>
        <item x="161"/>
        <item x="141"/>
        <item x="201"/>
        <item x="66"/>
        <item x="89"/>
        <item x="97"/>
        <item x="69"/>
        <item x="178"/>
        <item x="102"/>
        <item x="126"/>
        <item x="39"/>
        <item x="157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6">
    <field x="3"/>
    <field x="4"/>
    <field x="8"/>
    <field x="12"/>
    <field x="13"/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1" baseField="0" baseItem="0"/>
    <dataField name="Sum of delivery_days" fld="9" baseField="0" baseItem="0"/>
    <dataField name="Sum of unit_price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_category">
  <pivotTables>
    <pivotTable tabId="11" name="PivotTable5"/>
  </pivotTables>
  <data>
    <tabular pivotCacheId="1">
      <items count="4">
        <i x="0" s="1"/>
        <i x="1" s="1"/>
        <i x="2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11" name="PivotTable5"/>
  </pivotTables>
  <data>
    <tabular pivotCacheId="1">
      <items count="4">
        <i x="1" s="0"/>
        <i x="3" s="0"/>
        <i x="0" s="1"/>
        <i x="2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_method">
  <pivotTables>
    <pivotTable tabId="11" name="PivotTable5"/>
  </pivotTables>
  <data>
    <tabular pivotCacheId="1">
      <items count="3">
        <i x="1" s="1"/>
        <i x="2" s="0"/>
        <i x="0" s="0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venue" sourceName="revenue">
  <pivotTables>
    <pivotTable tabId="11" name="PivotTable5"/>
  </pivotTables>
  <data>
    <tabular pivotCacheId="1">
      <items count="208">
        <i x="70" s="1"/>
        <i x="117" s="1"/>
        <i x="25" s="1"/>
        <i x="1" s="1"/>
        <i x="155" s="1"/>
        <i x="134" s="1"/>
        <i x="36" s="1"/>
        <i x="112" s="1"/>
        <i x="111" s="1"/>
        <i x="88" s="1"/>
        <i x="48" s="1"/>
        <i x="8" s="1"/>
        <i x="78" s="1"/>
        <i x="206" s="1"/>
        <i x="42" s="1"/>
        <i x="166" s="1"/>
        <i x="6" s="1"/>
        <i x="141" s="1"/>
        <i x="89" s="1"/>
        <i x="87" s="1" nd="1"/>
        <i x="43" s="1" nd="1"/>
        <i x="168" s="1" nd="1"/>
        <i x="20" s="1" nd="1"/>
        <i x="47" s="1" nd="1"/>
        <i x="140" s="1" nd="1"/>
        <i x="76" s="1" nd="1"/>
        <i x="109" s="1" nd="1"/>
        <i x="207" s="1" nd="1"/>
        <i x="205" s="1" nd="1"/>
        <i x="108" s="1" nd="1"/>
        <i x="59" s="1" nd="1"/>
        <i x="173" s="1" nd="1"/>
        <i x="82" s="1" nd="1"/>
        <i x="72" s="1" nd="1"/>
        <i x="44" s="1" nd="1"/>
        <i x="164" s="1" nd="1"/>
        <i x="202" s="1" nd="1"/>
        <i x="110" s="1" nd="1"/>
        <i x="167" s="1" nd="1"/>
        <i x="192" s="1" nd="1"/>
        <i x="84" s="1" nd="1"/>
        <i x="204" s="1" nd="1"/>
        <i x="23" s="1" nd="1"/>
        <i x="52" s="1" nd="1"/>
        <i x="137" s="1" nd="1"/>
        <i x="21" s="1" nd="1"/>
        <i x="180" s="1" nd="1"/>
        <i x="113" s="1" nd="1"/>
        <i x="60" s="1" nd="1"/>
        <i x="153" s="1" nd="1"/>
        <i x="174" s="1" nd="1"/>
        <i x="33" s="1" nd="1"/>
        <i x="65" s="1" nd="1"/>
        <i x="74" s="1" nd="1"/>
        <i x="22" s="1" nd="1"/>
        <i x="116" s="1" nd="1"/>
        <i x="136" s="1" nd="1"/>
        <i x="203" s="1" nd="1"/>
        <i x="106" s="1" nd="1"/>
        <i x="152" s="1" nd="1"/>
        <i x="56" s="1" nd="1"/>
        <i x="53" s="1" nd="1"/>
        <i x="184" s="1" nd="1"/>
        <i x="38" s="1" nd="1"/>
        <i x="62" s="1" nd="1"/>
        <i x="95" s="1" nd="1"/>
        <i x="51" s="1" nd="1"/>
        <i x="179" s="1" nd="1"/>
        <i x="75" s="1" nd="1"/>
        <i x="32" s="1" nd="1"/>
        <i x="145" s="1" nd="1"/>
        <i x="49" s="1" nd="1"/>
        <i x="185" s="1" nd="1"/>
        <i x="176" s="1" nd="1"/>
        <i x="129" s="1" nd="1"/>
        <i x="5" s="1" nd="1"/>
        <i x="151" s="1" nd="1"/>
        <i x="123" s="1" nd="1"/>
        <i x="91" s="1" nd="1"/>
        <i x="83" s="1" nd="1"/>
        <i x="92" s="1" nd="1"/>
        <i x="46" s="1" nd="1"/>
        <i x="4" s="1" nd="1"/>
        <i x="195" s="1" nd="1"/>
        <i x="55" s="1" nd="1"/>
        <i x="94" s="1" nd="1"/>
        <i x="15" s="1" nd="1"/>
        <i x="158" s="1" nd="1"/>
        <i x="170" s="1" nd="1"/>
        <i x="175" s="1" nd="1"/>
        <i x="182" s="1" nd="1"/>
        <i x="103" s="1" nd="1"/>
        <i x="139" s="1" nd="1"/>
        <i x="16" s="1" nd="1"/>
        <i x="63" s="1" nd="1"/>
        <i x="96" s="1" nd="1"/>
        <i x="2" s="1" nd="1"/>
        <i x="71" s="1" nd="1"/>
        <i x="61" s="1" nd="1"/>
        <i x="30" s="1" nd="1"/>
        <i x="114" s="1" nd="1"/>
        <i x="172" s="1" nd="1"/>
        <i x="171" s="1" nd="1"/>
        <i x="187" s="1" nd="1"/>
        <i x="144" s="1" nd="1"/>
        <i x="115" s="1" nd="1"/>
        <i x="150" s="1" nd="1"/>
        <i x="93" s="1" nd="1"/>
        <i x="98" s="1" nd="1"/>
        <i x="34" s="1" nd="1"/>
        <i x="193" s="1" nd="1"/>
        <i x="41" s="1" nd="1"/>
        <i x="196" s="1" nd="1"/>
        <i x="77" s="1" nd="1"/>
        <i x="200" s="1" nd="1"/>
        <i x="188" s="1" nd="1"/>
        <i x="147" s="1" nd="1"/>
        <i x="165" s="1" nd="1"/>
        <i x="183" s="1" nd="1"/>
        <i x="127" s="1" nd="1"/>
        <i x="198" s="1" nd="1"/>
        <i x="18" s="1" nd="1"/>
        <i x="85" s="1" nd="1"/>
        <i x="197" s="1" nd="1"/>
        <i x="190" s="1" nd="1"/>
        <i x="73" s="1" nd="1"/>
        <i x="11" s="1" nd="1"/>
        <i x="107" s="1" nd="1"/>
        <i x="27" s="1" nd="1"/>
        <i x="9" s="1" nd="1"/>
        <i x="142" s="1" nd="1"/>
        <i x="160" s="1" nd="1"/>
        <i x="154" s="1" nd="1"/>
        <i x="28" s="1" nd="1"/>
        <i x="37" s="1" nd="1"/>
        <i x="148" s="1" nd="1"/>
        <i x="163" s="1" nd="1"/>
        <i x="138" s="1" nd="1"/>
        <i x="119" s="1" nd="1"/>
        <i x="169" s="1" nd="1"/>
        <i x="67" s="1" nd="1"/>
        <i x="101" s="1" nd="1"/>
        <i x="90" s="1" nd="1"/>
        <i x="156" s="1" nd="1"/>
        <i x="128" s="1" nd="1"/>
        <i x="86" s="1" nd="1"/>
        <i x="81" s="1" nd="1"/>
        <i x="120" s="1" nd="1"/>
        <i x="199" s="1" nd="1"/>
        <i x="135" s="1" nd="1"/>
        <i x="132" s="1" nd="1"/>
        <i x="162" s="1" nd="1"/>
        <i x="181" s="1" nd="1"/>
        <i x="124" s="1" nd="1"/>
        <i x="7" s="1" nd="1"/>
        <i x="24" s="1" nd="1"/>
        <i x="40" s="1" nd="1"/>
        <i x="13" s="1" nd="1"/>
        <i x="35" s="1" nd="1"/>
        <i x="146" s="1" nd="1"/>
        <i x="159" s="1" nd="1"/>
        <i x="100" s="1" nd="1"/>
        <i x="14" s="1" nd="1"/>
        <i x="189" s="1" nd="1"/>
        <i x="130" s="1" nd="1"/>
        <i x="118" s="1" nd="1"/>
        <i x="29" s="1" nd="1"/>
        <i x="54" s="1" nd="1"/>
        <i x="64" s="1" nd="1"/>
        <i x="68" s="1" nd="1"/>
        <i x="19" s="1" nd="1"/>
        <i x="79" s="1" nd="1"/>
        <i x="10" s="1" nd="1"/>
        <i x="194" s="1" nd="1"/>
        <i x="0" s="1" nd="1"/>
        <i x="57" s="1" nd="1"/>
        <i x="191" s="1" nd="1"/>
        <i x="17" s="1" nd="1"/>
        <i x="121" s="1" nd="1"/>
        <i x="149" s="1" nd="1"/>
        <i x="133" s="1" nd="1"/>
        <i x="143" s="1" nd="1"/>
        <i x="131" s="1" nd="1"/>
        <i x="12" s="1" nd="1"/>
        <i x="45" s="1" nd="1"/>
        <i x="26" s="1" nd="1"/>
        <i x="3" s="1" nd="1"/>
        <i x="105" s="1" nd="1"/>
        <i x="177" s="1" nd="1"/>
        <i x="50" s="1" nd="1"/>
        <i x="122" s="1" nd="1"/>
        <i x="31" s="1" nd="1"/>
        <i x="80" s="1" nd="1"/>
        <i x="186" s="1" nd="1"/>
        <i x="58" s="1" nd="1"/>
        <i x="104" s="1" nd="1"/>
        <i x="125" s="1" nd="1"/>
        <i x="99" s="1" nd="1"/>
        <i x="161" s="1" nd="1"/>
        <i x="201" s="1" nd="1"/>
        <i x="66" s="1" nd="1"/>
        <i x="97" s="1" nd="1"/>
        <i x="69" s="1" nd="1"/>
        <i x="178" s="1" nd="1"/>
        <i x="102" s="1" nd="1"/>
        <i x="126" s="1" nd="1"/>
        <i x="39" s="1" nd="1"/>
        <i x="157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_category 1" cache="Slicer_product_category" caption="product_category" rowHeight="234950"/>
  <slicer name="region 1" cache="Slicer_region" caption="region" rowHeight="234950"/>
  <slicer name="payment_method 1" cache="Slicer_payment_method" caption="payment_method" rowHeight="234950"/>
  <slicer name="revenue 1" cache="Slicer_revenue" caption="revenue" rowHeight="234950"/>
</slicers>
</file>

<file path=xl/tables/table1.xml><?xml version="1.0" encoding="utf-8"?>
<table xmlns="http://schemas.openxmlformats.org/spreadsheetml/2006/main" id="4" name="Table4" displayName="Table4" ref="A1:L209" totalsRowShown="0">
  <autoFilter xmlns:etc="http://www.wps.cn/officeDocument/2017/etCustomData" ref="A1:L209" etc:filterBottomFollowUsedRange="0"/>
  <tableColumns count="12">
    <tableColumn id="1" name="order_id" dataDxfId="0"/>
    <tableColumn id="2" name="order_date" dataDxfId="1"/>
    <tableColumn id="3" name="customer_id" dataDxfId="2"/>
    <tableColumn id="4" name="product_category" dataDxfId="3"/>
    <tableColumn id="5" name="region" dataDxfId="4"/>
    <tableColumn id="6" name="quantity" dataDxfId="5"/>
    <tableColumn id="7" name="unit_price" dataDxfId="6"/>
    <tableColumn id="8" name="discount" dataDxfId="7"/>
    <tableColumn id="9" name="payment_method" dataDxfId="8"/>
    <tableColumn id="10" name="delivery_days" dataDxfId="9"/>
    <tableColumn id="11" name="customer_rating" dataDxfId="10"/>
    <tableColumn id="12" name="revenue" dataDxfId="1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R210" totalsRowShown="0">
  <autoFilter xmlns:etc="http://www.wps.cn/officeDocument/2017/etCustomData" ref="A1:R210" etc:filterBottomFollowUsedRange="0"/>
  <tableColumns count="18">
    <tableColumn id="1" name="order_id" dataDxfId="12"/>
    <tableColumn id="2" name="order_date" dataDxfId="13"/>
    <tableColumn id="3" name="customer_id" dataDxfId="14"/>
    <tableColumn id="4" name="product_category" dataDxfId="15"/>
    <tableColumn id="5" name="region" dataDxfId="16"/>
    <tableColumn id="6" name="quantity" dataDxfId="17"/>
    <tableColumn id="7" name="unit_price" dataDxfId="18"/>
    <tableColumn id="8" name="discount" dataDxfId="19"/>
    <tableColumn id="9" name="payment_method" dataDxfId="20"/>
    <tableColumn id="10" name="delivery_days" dataDxfId="21"/>
    <tableColumn id="11" name="customer_rating" dataDxfId="22"/>
    <tableColumn id="12" name="revenue" dataDxfId="23"/>
    <tableColumn id="13" name="Month" dataDxfId="24">
      <calculatedColumnFormula>TEXT(B2,"mmm-yy")</calculatedColumnFormula>
    </tableColumn>
    <tableColumn id="14" name="Revenue Check" dataDxfId="25">
      <calculatedColumnFormula>IF(ROUND(L2,2)=ROUND(F2*G2*(1-H2),2),"OK","Check")</calculatedColumnFormula>
    </tableColumn>
    <tableColumn id="15" name="Delivery Status" dataDxfId="26">
      <calculatedColumnFormula>IF(J2&lt;=3,"Fast",IF(J2&lt;=7,"Standard","Delayed"))</calculatedColumnFormula>
    </tableColumn>
    <tableColumn id="16" name="Rating Band" dataDxfId="27">
      <calculatedColumnFormula>IF(K2&gt;=4.5,"Excellent",IF(K2&gt;=3.5,"Good",IF(K2&gt;=2.5,"Average","Low")))</calculatedColumnFormula>
    </tableColumn>
    <tableColumn id="17" name="Customer Code" dataDxfId="28"/>
    <tableColumn id="18" name="Category Code" dataDxfId="29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D12" totalsRowShown="0">
  <autoFilter xmlns:etc="http://www.wps.cn/officeDocument/2017/etCustomData" ref="A1:D12" etc:filterBottomFollowUsedRange="0"/>
  <tableColumns count="4">
    <tableColumn id="1" name="Sr. No." dataDxfId="30"/>
    <tableColumn id="2" name="Topic" dataDxfId="31"/>
    <tableColumn id="3" name="Work Done" dataDxfId="32"/>
    <tableColumn id="4" name="Sheet" dataDxfId="3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9"/>
  <sheetViews>
    <sheetView topLeftCell="A187" workbookViewId="0">
      <selection activeCell="A2" sqref="A2:L209"/>
    </sheetView>
  </sheetViews>
  <sheetFormatPr defaultColWidth="9" defaultRowHeight="14.4"/>
  <cols>
    <col min="1" max="1" width="10" customWidth="1"/>
    <col min="2" max="2" width="13.2222222222222" customWidth="1"/>
    <col min="3" max="3" width="13.3333333333333" customWidth="1"/>
    <col min="4" max="4" width="17.8888888888889" customWidth="1"/>
    <col min="6" max="6" width="10" customWidth="1"/>
    <col min="7" max="7" width="11.3333333333333" customWidth="1"/>
    <col min="8" max="8" width="10.1111111111111" customWidth="1"/>
    <col min="9" max="9" width="18.1111111111111" customWidth="1"/>
    <col min="10" max="10" width="14.4444444444444" customWidth="1"/>
    <col min="11" max="11" width="16.6666666666667" customWidth="1"/>
    <col min="12" max="12" width="9.7777777777777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10001</v>
      </c>
      <c r="B2" s="34">
        <v>44562</v>
      </c>
      <c r="C2" s="2">
        <v>1102</v>
      </c>
      <c r="D2" s="2" t="s">
        <v>12</v>
      </c>
      <c r="E2" s="2" t="s">
        <v>13</v>
      </c>
      <c r="F2" s="2">
        <v>7</v>
      </c>
      <c r="G2" s="2">
        <v>373.65</v>
      </c>
      <c r="H2" s="2">
        <v>0.28</v>
      </c>
      <c r="I2" s="2" t="s">
        <v>14</v>
      </c>
      <c r="J2" s="2">
        <v>10</v>
      </c>
      <c r="K2" s="2">
        <v>4.7</v>
      </c>
      <c r="L2" s="2">
        <v>1883.2</v>
      </c>
    </row>
    <row r="3" spans="1:12">
      <c r="A3" s="2">
        <v>10002</v>
      </c>
      <c r="B3" s="34">
        <v>44563</v>
      </c>
      <c r="C3" s="2">
        <v>1435</v>
      </c>
      <c r="D3" s="2" t="s">
        <v>15</v>
      </c>
      <c r="E3" s="2" t="s">
        <v>13</v>
      </c>
      <c r="F3" s="2">
        <v>7</v>
      </c>
      <c r="G3" s="2">
        <v>47.74</v>
      </c>
      <c r="H3" s="2">
        <v>0.09</v>
      </c>
      <c r="I3" s="2" t="s">
        <v>16</v>
      </c>
      <c r="J3" s="2">
        <v>6</v>
      </c>
      <c r="K3" s="2">
        <v>3.9</v>
      </c>
      <c r="L3" s="2">
        <v>304.1</v>
      </c>
    </row>
    <row r="4" spans="1:12">
      <c r="A4" s="2">
        <v>10003</v>
      </c>
      <c r="B4" s="34">
        <v>44564</v>
      </c>
      <c r="C4" s="2">
        <v>1860</v>
      </c>
      <c r="D4" s="2" t="s">
        <v>12</v>
      </c>
      <c r="E4" s="2" t="s">
        <v>17</v>
      </c>
      <c r="F4" s="2">
        <v>3</v>
      </c>
      <c r="G4" s="2">
        <v>311.28</v>
      </c>
      <c r="H4" s="2">
        <v>0.31</v>
      </c>
      <c r="I4" s="2" t="s">
        <v>18</v>
      </c>
      <c r="J4" s="2">
        <v>6</v>
      </c>
      <c r="K4" s="2">
        <v>2.5</v>
      </c>
      <c r="L4" s="2">
        <v>644.35</v>
      </c>
    </row>
    <row r="5" spans="1:12">
      <c r="A5" s="2">
        <v>10004</v>
      </c>
      <c r="B5" s="34">
        <v>44565</v>
      </c>
      <c r="C5" s="2">
        <v>1270</v>
      </c>
      <c r="D5" s="2" t="s">
        <v>19</v>
      </c>
      <c r="E5" s="2" t="s">
        <v>20</v>
      </c>
      <c r="F5" s="2">
        <v>5</v>
      </c>
      <c r="G5" s="2">
        <v>524.47</v>
      </c>
      <c r="H5" s="2">
        <v>0.02</v>
      </c>
      <c r="I5" s="2" t="s">
        <v>14</v>
      </c>
      <c r="J5" s="2">
        <v>6</v>
      </c>
      <c r="K5" s="2">
        <v>1.6</v>
      </c>
      <c r="L5" s="2">
        <v>2569.9</v>
      </c>
    </row>
    <row r="6" spans="1:12">
      <c r="A6" s="2">
        <v>10005</v>
      </c>
      <c r="B6" s="34">
        <v>44566</v>
      </c>
      <c r="C6" s="2">
        <v>1106</v>
      </c>
      <c r="D6" s="2" t="s">
        <v>15</v>
      </c>
      <c r="E6" s="2" t="s">
        <v>20</v>
      </c>
      <c r="F6" s="2">
        <v>5</v>
      </c>
      <c r="G6" s="2">
        <v>139.87</v>
      </c>
      <c r="H6" s="2">
        <v>0.33</v>
      </c>
      <c r="I6" s="2" t="s">
        <v>14</v>
      </c>
      <c r="J6" s="2">
        <v>4</v>
      </c>
      <c r="K6" s="2">
        <v>4.9</v>
      </c>
      <c r="L6" s="2">
        <v>468.56</v>
      </c>
    </row>
    <row r="7" spans="1:12">
      <c r="A7" s="2">
        <v>10006</v>
      </c>
      <c r="B7" s="34">
        <v>44567</v>
      </c>
      <c r="C7" s="2">
        <v>1071</v>
      </c>
      <c r="D7" s="2" t="s">
        <v>19</v>
      </c>
      <c r="E7" s="2" t="s">
        <v>20</v>
      </c>
      <c r="F7" s="2">
        <v>2</v>
      </c>
      <c r="G7" s="2">
        <v>264.44</v>
      </c>
      <c r="H7" s="2">
        <v>0.2</v>
      </c>
      <c r="I7" s="2" t="s">
        <v>16</v>
      </c>
      <c r="J7" s="2">
        <v>3</v>
      </c>
      <c r="K7" s="2">
        <v>3.3</v>
      </c>
      <c r="L7" s="2">
        <v>423.1</v>
      </c>
    </row>
    <row r="8" spans="1:12">
      <c r="A8" s="2">
        <v>10007</v>
      </c>
      <c r="B8" s="34">
        <v>44568</v>
      </c>
      <c r="C8" s="2">
        <v>1700</v>
      </c>
      <c r="D8" s="2" t="s">
        <v>15</v>
      </c>
      <c r="E8" s="2" t="s">
        <v>13</v>
      </c>
      <c r="F8" s="2">
        <v>6</v>
      </c>
      <c r="G8" s="2">
        <v>564.6</v>
      </c>
      <c r="H8" s="2">
        <v>0.23</v>
      </c>
      <c r="I8" s="2" t="s">
        <v>16</v>
      </c>
      <c r="J8" s="2">
        <v>1</v>
      </c>
      <c r="K8" s="2">
        <v>1.8</v>
      </c>
      <c r="L8" s="2">
        <v>2608.45</v>
      </c>
    </row>
    <row r="9" spans="1:12">
      <c r="A9" s="2">
        <v>10008</v>
      </c>
      <c r="B9" s="34">
        <v>44569</v>
      </c>
      <c r="C9" s="2">
        <v>1020</v>
      </c>
      <c r="D9" s="2" t="s">
        <v>12</v>
      </c>
      <c r="E9" s="2" t="s">
        <v>21</v>
      </c>
      <c r="F9" s="2">
        <v>6</v>
      </c>
      <c r="G9" s="2">
        <v>265.71</v>
      </c>
      <c r="H9" s="2">
        <v>0.13</v>
      </c>
      <c r="I9" s="2" t="s">
        <v>16</v>
      </c>
      <c r="J9" s="2">
        <v>2</v>
      </c>
      <c r="K9" s="2">
        <v>3.7</v>
      </c>
      <c r="L9" s="2">
        <v>1387.01</v>
      </c>
    </row>
    <row r="10" spans="1:12">
      <c r="A10" s="2">
        <v>10009</v>
      </c>
      <c r="B10" s="34">
        <v>44570</v>
      </c>
      <c r="C10" s="2">
        <v>1614</v>
      </c>
      <c r="D10" s="2" t="s">
        <v>15</v>
      </c>
      <c r="E10" s="2" t="s">
        <v>13</v>
      </c>
      <c r="F10" s="2">
        <v>6</v>
      </c>
      <c r="G10" s="2">
        <v>224.65</v>
      </c>
      <c r="H10" s="2">
        <v>0.27</v>
      </c>
      <c r="I10" s="2" t="s">
        <v>16</v>
      </c>
      <c r="J10" s="2">
        <v>2</v>
      </c>
      <c r="K10" s="2">
        <v>1.4</v>
      </c>
      <c r="L10" s="2">
        <v>983.97</v>
      </c>
    </row>
    <row r="11" spans="1:12">
      <c r="A11" s="2">
        <v>10010</v>
      </c>
      <c r="B11" s="34">
        <v>44571</v>
      </c>
      <c r="C11" s="2">
        <v>1121</v>
      </c>
      <c r="D11" s="2" t="s">
        <v>15</v>
      </c>
      <c r="E11" s="2" t="s">
        <v>20</v>
      </c>
      <c r="F11" s="2">
        <v>4</v>
      </c>
      <c r="G11" s="2">
        <v>272.71</v>
      </c>
      <c r="H11" s="2">
        <v>0.06</v>
      </c>
      <c r="I11" s="2" t="s">
        <v>16</v>
      </c>
      <c r="J11" s="2">
        <v>10</v>
      </c>
      <c r="K11" s="2">
        <v>4.5</v>
      </c>
      <c r="L11" s="2">
        <v>1025.39</v>
      </c>
    </row>
    <row r="12" spans="1:12">
      <c r="A12" s="2">
        <v>10011</v>
      </c>
      <c r="B12" s="34">
        <v>44572</v>
      </c>
      <c r="C12" s="2">
        <v>1466</v>
      </c>
      <c r="D12" s="2" t="s">
        <v>15</v>
      </c>
      <c r="E12" s="2" t="s">
        <v>20</v>
      </c>
      <c r="F12" s="2">
        <v>6</v>
      </c>
      <c r="G12" s="2">
        <v>318.88</v>
      </c>
      <c r="H12" s="2">
        <v>0.02</v>
      </c>
      <c r="I12" s="2" t="s">
        <v>18</v>
      </c>
      <c r="J12" s="2">
        <v>7</v>
      </c>
      <c r="K12" s="2">
        <v>1.4</v>
      </c>
      <c r="L12" s="2">
        <v>1875.01</v>
      </c>
    </row>
    <row r="13" spans="1:12">
      <c r="A13" s="2">
        <v>10012</v>
      </c>
      <c r="B13" s="34">
        <v>44573</v>
      </c>
      <c r="C13" s="2">
        <v>1214</v>
      </c>
      <c r="D13" s="2" t="s">
        <v>19</v>
      </c>
      <c r="E13" s="2" t="s">
        <v>20</v>
      </c>
      <c r="F13" s="2">
        <v>3</v>
      </c>
      <c r="G13" s="2">
        <v>384.71</v>
      </c>
      <c r="H13" s="2">
        <v>0.14</v>
      </c>
      <c r="I13" s="2" t="s">
        <v>18</v>
      </c>
      <c r="J13" s="2">
        <v>11</v>
      </c>
      <c r="K13" s="2">
        <v>1.9</v>
      </c>
      <c r="L13" s="2">
        <v>992.55</v>
      </c>
    </row>
    <row r="14" spans="1:12">
      <c r="A14" s="2">
        <v>10013</v>
      </c>
      <c r="B14" s="34">
        <v>44574</v>
      </c>
      <c r="C14" s="2">
        <v>1330</v>
      </c>
      <c r="D14" s="2" t="s">
        <v>12</v>
      </c>
      <c r="E14" s="2" t="s">
        <v>13</v>
      </c>
      <c r="F14" s="2">
        <v>7</v>
      </c>
      <c r="G14" s="2">
        <v>483.41</v>
      </c>
      <c r="H14" s="2">
        <v>0.3</v>
      </c>
      <c r="I14" s="2" t="s">
        <v>18</v>
      </c>
      <c r="J14" s="2">
        <v>6</v>
      </c>
      <c r="K14" s="2">
        <v>1.4</v>
      </c>
      <c r="L14" s="2">
        <v>2368.71</v>
      </c>
    </row>
    <row r="15" spans="1:12">
      <c r="A15" s="2">
        <v>10014</v>
      </c>
      <c r="B15" s="34">
        <v>44575</v>
      </c>
      <c r="C15" s="2">
        <v>1458</v>
      </c>
      <c r="D15" s="2" t="s">
        <v>15</v>
      </c>
      <c r="E15" s="2" t="s">
        <v>20</v>
      </c>
      <c r="F15" s="2">
        <v>7</v>
      </c>
      <c r="G15" s="2">
        <v>279.48</v>
      </c>
      <c r="H15" s="2">
        <v>0.26</v>
      </c>
      <c r="I15" s="2" t="s">
        <v>18</v>
      </c>
      <c r="J15" s="2">
        <v>8</v>
      </c>
      <c r="K15" s="2">
        <v>1.4</v>
      </c>
      <c r="L15" s="2">
        <v>1447.71</v>
      </c>
    </row>
    <row r="16" spans="1:12">
      <c r="A16" s="2">
        <v>10015</v>
      </c>
      <c r="B16" s="34">
        <v>44576</v>
      </c>
      <c r="C16" s="2">
        <v>1087</v>
      </c>
      <c r="D16" s="2" t="s">
        <v>15</v>
      </c>
      <c r="E16" s="2" t="s">
        <v>17</v>
      </c>
      <c r="F16" s="2">
        <v>4</v>
      </c>
      <c r="G16" s="2">
        <v>493.23</v>
      </c>
      <c r="H16" s="2">
        <v>0.18</v>
      </c>
      <c r="I16" s="2" t="s">
        <v>16</v>
      </c>
      <c r="J16" s="2">
        <v>9</v>
      </c>
      <c r="K16" s="2">
        <v>3.1</v>
      </c>
      <c r="L16" s="2">
        <v>1617.79</v>
      </c>
    </row>
    <row r="17" spans="1:12">
      <c r="A17" s="2">
        <v>10016</v>
      </c>
      <c r="B17" s="34">
        <v>44577</v>
      </c>
      <c r="C17" s="2">
        <v>1372</v>
      </c>
      <c r="D17" s="2" t="s">
        <v>15</v>
      </c>
      <c r="E17" s="2" t="s">
        <v>20</v>
      </c>
      <c r="F17" s="2">
        <v>2</v>
      </c>
      <c r="G17" s="2">
        <v>327.23</v>
      </c>
      <c r="H17" s="2">
        <v>0.2</v>
      </c>
      <c r="I17" s="2" t="s">
        <v>14</v>
      </c>
      <c r="J17" s="2">
        <v>5</v>
      </c>
      <c r="K17" s="2">
        <v>3.7</v>
      </c>
      <c r="L17" s="2">
        <v>523.57</v>
      </c>
    </row>
    <row r="18" spans="1:12">
      <c r="A18" s="2">
        <v>10017</v>
      </c>
      <c r="B18" s="34">
        <v>44578</v>
      </c>
      <c r="C18" s="2">
        <v>1099</v>
      </c>
      <c r="D18" s="2" t="s">
        <v>15</v>
      </c>
      <c r="E18" s="2" t="s">
        <v>21</v>
      </c>
      <c r="F18" s="2">
        <v>3</v>
      </c>
      <c r="G18" s="2">
        <v>213.01</v>
      </c>
      <c r="H18" s="2">
        <v>0.05</v>
      </c>
      <c r="I18" s="2" t="s">
        <v>14</v>
      </c>
      <c r="J18" s="2">
        <v>11</v>
      </c>
      <c r="K18" s="2">
        <v>4.2</v>
      </c>
      <c r="L18" s="2">
        <v>607.08</v>
      </c>
    </row>
    <row r="19" spans="1:12">
      <c r="A19" s="2">
        <v>10018</v>
      </c>
      <c r="B19" s="34">
        <v>44579</v>
      </c>
      <c r="C19" s="2">
        <v>1871</v>
      </c>
      <c r="D19" s="2" t="s">
        <v>19</v>
      </c>
      <c r="E19" s="2" t="s">
        <v>17</v>
      </c>
      <c r="F19" s="2">
        <v>7</v>
      </c>
      <c r="G19" s="2">
        <v>399.9</v>
      </c>
      <c r="H19" s="2">
        <v>0.29</v>
      </c>
      <c r="I19" s="2" t="s">
        <v>18</v>
      </c>
      <c r="J19" s="2">
        <v>3</v>
      </c>
      <c r="K19" s="2">
        <v>3.8</v>
      </c>
      <c r="L19" s="2">
        <v>1987.5</v>
      </c>
    </row>
    <row r="20" spans="1:12">
      <c r="A20" s="2">
        <v>10019</v>
      </c>
      <c r="B20" s="34">
        <v>44580</v>
      </c>
      <c r="C20" s="2">
        <v>1663</v>
      </c>
      <c r="D20" s="2" t="s">
        <v>22</v>
      </c>
      <c r="E20" s="2" t="s">
        <v>20</v>
      </c>
      <c r="F20" s="2">
        <v>3</v>
      </c>
      <c r="G20" s="2">
        <v>434.87</v>
      </c>
      <c r="H20" s="2">
        <v>0.28</v>
      </c>
      <c r="I20" s="2" t="s">
        <v>14</v>
      </c>
      <c r="J20" s="2">
        <v>4</v>
      </c>
      <c r="K20" s="2">
        <v>2.5</v>
      </c>
      <c r="L20" s="2">
        <v>939.32</v>
      </c>
    </row>
    <row r="21" spans="1:12">
      <c r="A21" s="2">
        <v>10020</v>
      </c>
      <c r="B21" s="34">
        <v>44581</v>
      </c>
      <c r="C21" s="2">
        <v>1130</v>
      </c>
      <c r="D21" s="2" t="s">
        <v>19</v>
      </c>
      <c r="E21" s="2" t="s">
        <v>17</v>
      </c>
      <c r="F21" s="2">
        <v>7</v>
      </c>
      <c r="G21" s="2">
        <v>341.46</v>
      </c>
      <c r="H21" s="2">
        <v>0.23</v>
      </c>
      <c r="I21" s="2" t="s">
        <v>16</v>
      </c>
      <c r="J21" s="2">
        <v>11</v>
      </c>
      <c r="K21" s="2">
        <v>3.2</v>
      </c>
      <c r="L21" s="2">
        <v>1840.47</v>
      </c>
    </row>
    <row r="22" spans="1:12">
      <c r="A22" s="2">
        <v>10021</v>
      </c>
      <c r="B22" s="34">
        <v>44582</v>
      </c>
      <c r="C22" s="2">
        <v>1661</v>
      </c>
      <c r="D22" s="2" t="s">
        <v>22</v>
      </c>
      <c r="E22" s="2" t="s">
        <v>20</v>
      </c>
      <c r="F22" s="2">
        <v>1</v>
      </c>
      <c r="G22" s="2">
        <v>48.12</v>
      </c>
      <c r="H22" s="2">
        <v>0.16</v>
      </c>
      <c r="I22" s="2" t="s">
        <v>18</v>
      </c>
      <c r="J22" s="2">
        <v>8</v>
      </c>
      <c r="K22" s="2">
        <v>4.7</v>
      </c>
      <c r="L22" s="2">
        <v>40.42</v>
      </c>
    </row>
    <row r="23" spans="1:12">
      <c r="A23" s="2">
        <v>10022</v>
      </c>
      <c r="B23" s="34">
        <v>44583</v>
      </c>
      <c r="C23" s="2">
        <v>1308</v>
      </c>
      <c r="D23" s="2" t="s">
        <v>22</v>
      </c>
      <c r="E23" s="2" t="s">
        <v>21</v>
      </c>
      <c r="F23" s="2">
        <v>2</v>
      </c>
      <c r="G23" s="2">
        <v>114.38</v>
      </c>
      <c r="H23" s="2">
        <v>0.34</v>
      </c>
      <c r="I23" s="2" t="s">
        <v>16</v>
      </c>
      <c r="J23" s="2">
        <v>3</v>
      </c>
      <c r="K23" s="2">
        <v>2.6</v>
      </c>
      <c r="L23" s="2">
        <v>150.98</v>
      </c>
    </row>
    <row r="24" spans="1:12">
      <c r="A24" s="2">
        <v>10023</v>
      </c>
      <c r="B24" s="34">
        <v>44584</v>
      </c>
      <c r="C24" s="2">
        <v>1769</v>
      </c>
      <c r="D24" s="2" t="s">
        <v>22</v>
      </c>
      <c r="E24" s="2" t="s">
        <v>20</v>
      </c>
      <c r="F24" s="2">
        <v>2</v>
      </c>
      <c r="G24" s="2">
        <v>181.9</v>
      </c>
      <c r="H24" s="2">
        <v>0.31</v>
      </c>
      <c r="I24" s="2" t="s">
        <v>16</v>
      </c>
      <c r="J24" s="2">
        <v>2</v>
      </c>
      <c r="K24" s="2">
        <v>2</v>
      </c>
      <c r="L24" s="2">
        <v>251.02</v>
      </c>
    </row>
    <row r="25" spans="1:12">
      <c r="A25" s="2">
        <v>10024</v>
      </c>
      <c r="B25" s="34">
        <v>44585</v>
      </c>
      <c r="C25" s="2">
        <v>1343</v>
      </c>
      <c r="D25" s="2" t="s">
        <v>15</v>
      </c>
      <c r="E25" s="2" t="s">
        <v>17</v>
      </c>
      <c r="F25" s="2">
        <v>1</v>
      </c>
      <c r="G25" s="2">
        <v>180.34</v>
      </c>
      <c r="H25" s="2">
        <v>0.23</v>
      </c>
      <c r="I25" s="2" t="s">
        <v>16</v>
      </c>
      <c r="J25" s="2">
        <v>7</v>
      </c>
      <c r="K25" s="2">
        <v>3.1</v>
      </c>
      <c r="L25" s="2">
        <v>138.86</v>
      </c>
    </row>
    <row r="26" spans="1:12">
      <c r="A26" s="2">
        <v>10025</v>
      </c>
      <c r="B26" s="34">
        <v>44586</v>
      </c>
      <c r="C26" s="2">
        <v>1491</v>
      </c>
      <c r="D26" s="2" t="s">
        <v>15</v>
      </c>
      <c r="E26" s="2" t="s">
        <v>21</v>
      </c>
      <c r="F26" s="2">
        <v>4</v>
      </c>
      <c r="G26" s="2">
        <v>408.95</v>
      </c>
      <c r="H26" s="2">
        <v>0.13</v>
      </c>
      <c r="I26" s="2" t="s">
        <v>18</v>
      </c>
      <c r="J26" s="2">
        <v>4</v>
      </c>
      <c r="K26" s="2">
        <v>2.2</v>
      </c>
      <c r="L26" s="2">
        <v>1423.15</v>
      </c>
    </row>
    <row r="27" spans="1:12">
      <c r="A27" s="2">
        <v>10026</v>
      </c>
      <c r="B27" s="34">
        <v>44587</v>
      </c>
      <c r="C27" s="2">
        <v>1413</v>
      </c>
      <c r="D27" s="2" t="s">
        <v>19</v>
      </c>
      <c r="E27" s="2" t="s">
        <v>13</v>
      </c>
      <c r="F27" s="2">
        <v>7</v>
      </c>
      <c r="G27" s="2">
        <v>25.73</v>
      </c>
      <c r="H27" s="2">
        <v>0.22</v>
      </c>
      <c r="I27" s="2" t="s">
        <v>16</v>
      </c>
      <c r="J27" s="2">
        <v>8</v>
      </c>
      <c r="K27" s="2">
        <v>2</v>
      </c>
      <c r="L27" s="2">
        <v>140.49</v>
      </c>
    </row>
    <row r="28" spans="1:12">
      <c r="A28" s="2">
        <v>10027</v>
      </c>
      <c r="B28" s="34">
        <v>44588</v>
      </c>
      <c r="C28" s="2">
        <v>1805</v>
      </c>
      <c r="D28" s="2" t="s">
        <v>22</v>
      </c>
      <c r="E28" s="2" t="s">
        <v>21</v>
      </c>
      <c r="F28" s="2">
        <v>7</v>
      </c>
      <c r="G28" s="2">
        <v>457.07</v>
      </c>
      <c r="H28" s="2">
        <v>0.2</v>
      </c>
      <c r="I28" s="2" t="s">
        <v>18</v>
      </c>
      <c r="J28" s="2">
        <v>1</v>
      </c>
      <c r="K28" s="2">
        <v>4.1</v>
      </c>
      <c r="L28" s="2">
        <v>2559.59</v>
      </c>
    </row>
    <row r="29" spans="1:12">
      <c r="A29" s="2">
        <v>10028</v>
      </c>
      <c r="B29" s="34">
        <v>44589</v>
      </c>
      <c r="C29" s="2">
        <v>1385</v>
      </c>
      <c r="D29" s="2" t="s">
        <v>19</v>
      </c>
      <c r="E29" s="2" t="s">
        <v>21</v>
      </c>
      <c r="F29" s="2">
        <v>7</v>
      </c>
      <c r="G29" s="2">
        <v>170.23</v>
      </c>
      <c r="H29" s="2">
        <v>0.14</v>
      </c>
      <c r="I29" s="2" t="s">
        <v>16</v>
      </c>
      <c r="J29" s="2">
        <v>8</v>
      </c>
      <c r="K29" s="2">
        <v>4.6</v>
      </c>
      <c r="L29" s="2">
        <v>1024.78</v>
      </c>
    </row>
    <row r="30" spans="1:12">
      <c r="A30" s="2">
        <v>10029</v>
      </c>
      <c r="B30" s="34">
        <v>44590</v>
      </c>
      <c r="C30" s="2">
        <v>1191</v>
      </c>
      <c r="D30" s="2" t="s">
        <v>15</v>
      </c>
      <c r="E30" s="2" t="s">
        <v>21</v>
      </c>
      <c r="F30" s="2">
        <v>6</v>
      </c>
      <c r="G30" s="2">
        <v>196.36</v>
      </c>
      <c r="H30" s="2">
        <v>0.11</v>
      </c>
      <c r="I30" s="2" t="s">
        <v>14</v>
      </c>
      <c r="J30" s="2">
        <v>5</v>
      </c>
      <c r="K30" s="2">
        <v>3</v>
      </c>
      <c r="L30" s="2">
        <v>1048.56</v>
      </c>
    </row>
    <row r="31" spans="1:12">
      <c r="A31" s="2">
        <v>10030</v>
      </c>
      <c r="B31" s="34">
        <v>44591</v>
      </c>
      <c r="C31" s="2">
        <v>1955</v>
      </c>
      <c r="D31" s="2" t="s">
        <v>19</v>
      </c>
      <c r="E31" s="2" t="s">
        <v>17</v>
      </c>
      <c r="F31" s="2">
        <v>6</v>
      </c>
      <c r="G31" s="2">
        <v>323.83</v>
      </c>
      <c r="H31" s="2">
        <v>0.14</v>
      </c>
      <c r="I31" s="2" t="s">
        <v>18</v>
      </c>
      <c r="J31" s="2">
        <v>2</v>
      </c>
      <c r="K31" s="2">
        <v>4.1</v>
      </c>
      <c r="L31" s="2">
        <v>1670.96</v>
      </c>
    </row>
    <row r="32" spans="1:12">
      <c r="A32" s="2">
        <v>10031</v>
      </c>
      <c r="B32" s="34">
        <v>44592</v>
      </c>
      <c r="C32" s="2">
        <v>1276</v>
      </c>
      <c r="D32" s="2" t="s">
        <v>19</v>
      </c>
      <c r="E32" s="2" t="s">
        <v>21</v>
      </c>
      <c r="F32" s="2">
        <v>6</v>
      </c>
      <c r="G32" s="2">
        <v>141.32</v>
      </c>
      <c r="H32" s="2">
        <v>0.2</v>
      </c>
      <c r="I32" s="2" t="s">
        <v>16</v>
      </c>
      <c r="J32" s="2">
        <v>1</v>
      </c>
      <c r="K32" s="2">
        <v>1.7</v>
      </c>
      <c r="L32" s="2">
        <v>678.34</v>
      </c>
    </row>
    <row r="33" spans="1:12">
      <c r="A33" s="2">
        <v>10032</v>
      </c>
      <c r="B33" s="34">
        <v>44593</v>
      </c>
      <c r="C33" s="2">
        <v>1160</v>
      </c>
      <c r="D33" s="2" t="s">
        <v>15</v>
      </c>
      <c r="E33" s="2" t="s">
        <v>20</v>
      </c>
      <c r="F33" s="2">
        <v>6</v>
      </c>
      <c r="G33" s="2">
        <v>532.42</v>
      </c>
      <c r="H33" s="2">
        <v>0.15</v>
      </c>
      <c r="I33" s="2" t="s">
        <v>16</v>
      </c>
      <c r="J33" s="2">
        <v>6</v>
      </c>
      <c r="K33" s="2">
        <v>3.2</v>
      </c>
      <c r="L33" s="2">
        <v>2715.34</v>
      </c>
    </row>
    <row r="34" spans="1:12">
      <c r="A34" s="2">
        <v>10033</v>
      </c>
      <c r="B34" s="34">
        <v>44594</v>
      </c>
      <c r="C34" s="2">
        <v>1459</v>
      </c>
      <c r="D34" s="2" t="s">
        <v>19</v>
      </c>
      <c r="E34" s="2" t="s">
        <v>21</v>
      </c>
      <c r="F34" s="2">
        <v>6</v>
      </c>
      <c r="G34" s="2">
        <v>64.94</v>
      </c>
      <c r="H34" s="2">
        <v>0.09</v>
      </c>
      <c r="I34" s="2" t="s">
        <v>14</v>
      </c>
      <c r="J34" s="2">
        <v>9</v>
      </c>
      <c r="K34" s="2">
        <v>3.5</v>
      </c>
      <c r="L34" s="2">
        <v>354.57</v>
      </c>
    </row>
    <row r="35" spans="1:12">
      <c r="A35" s="2">
        <v>10034</v>
      </c>
      <c r="B35" s="34">
        <v>44595</v>
      </c>
      <c r="C35" s="2">
        <v>1313</v>
      </c>
      <c r="D35" s="2" t="s">
        <v>22</v>
      </c>
      <c r="E35" s="2" t="s">
        <v>21</v>
      </c>
      <c r="F35" s="2">
        <v>1</v>
      </c>
      <c r="G35" s="2">
        <v>274.96</v>
      </c>
      <c r="H35" s="2">
        <v>0.27</v>
      </c>
      <c r="I35" s="2" t="s">
        <v>16</v>
      </c>
      <c r="J35" s="2">
        <v>9</v>
      </c>
      <c r="K35" s="2">
        <v>3</v>
      </c>
      <c r="L35" s="2">
        <v>200.72</v>
      </c>
    </row>
    <row r="36" spans="1:12">
      <c r="A36" s="2">
        <v>10035</v>
      </c>
      <c r="B36" s="34">
        <v>44596</v>
      </c>
      <c r="C36" s="2">
        <v>1021</v>
      </c>
      <c r="D36" s="2" t="s">
        <v>19</v>
      </c>
      <c r="E36" s="2" t="s">
        <v>20</v>
      </c>
      <c r="F36" s="2">
        <v>2</v>
      </c>
      <c r="G36" s="2">
        <v>511.91</v>
      </c>
      <c r="H36" s="2">
        <v>0.19</v>
      </c>
      <c r="I36" s="2" t="s">
        <v>18</v>
      </c>
      <c r="J36" s="2">
        <v>9</v>
      </c>
      <c r="K36" s="2">
        <v>1.5</v>
      </c>
      <c r="L36" s="2">
        <v>829.29</v>
      </c>
    </row>
    <row r="37" spans="1:12">
      <c r="A37" s="2">
        <v>10036</v>
      </c>
      <c r="B37" s="34">
        <v>44597</v>
      </c>
      <c r="C37" s="2">
        <v>1252</v>
      </c>
      <c r="D37" s="2" t="s">
        <v>19</v>
      </c>
      <c r="E37" s="2" t="s">
        <v>20</v>
      </c>
      <c r="F37" s="2">
        <v>4</v>
      </c>
      <c r="G37" s="2">
        <v>375.27</v>
      </c>
      <c r="H37" s="2">
        <v>0.02</v>
      </c>
      <c r="I37" s="2" t="s">
        <v>18</v>
      </c>
      <c r="J37" s="2">
        <v>11</v>
      </c>
      <c r="K37" s="2">
        <v>3.9</v>
      </c>
      <c r="L37" s="2">
        <v>1471.06</v>
      </c>
    </row>
    <row r="38" spans="1:12">
      <c r="A38" s="2">
        <v>10037</v>
      </c>
      <c r="B38" s="34">
        <v>44598</v>
      </c>
      <c r="C38" s="2">
        <v>1747</v>
      </c>
      <c r="D38" s="2" t="s">
        <v>15</v>
      </c>
      <c r="E38" s="2" t="s">
        <v>13</v>
      </c>
      <c r="F38" s="2">
        <v>3</v>
      </c>
      <c r="G38" s="2">
        <v>186.01</v>
      </c>
      <c r="H38" s="2">
        <v>0.13</v>
      </c>
      <c r="I38" s="2" t="s">
        <v>16</v>
      </c>
      <c r="J38" s="2">
        <v>4</v>
      </c>
      <c r="K38" s="2">
        <v>4.4</v>
      </c>
      <c r="L38" s="2">
        <v>485.49</v>
      </c>
    </row>
    <row r="39" spans="1:12">
      <c r="A39" s="2">
        <v>10038</v>
      </c>
      <c r="B39" s="34">
        <v>44599</v>
      </c>
      <c r="C39" s="2">
        <v>1856</v>
      </c>
      <c r="D39" s="2" t="s">
        <v>19</v>
      </c>
      <c r="E39" s="2" t="s">
        <v>21</v>
      </c>
      <c r="F39" s="2">
        <v>6</v>
      </c>
      <c r="G39" s="2">
        <v>261.14</v>
      </c>
      <c r="H39" s="2">
        <v>0.31</v>
      </c>
      <c r="I39" s="2" t="s">
        <v>16</v>
      </c>
      <c r="J39" s="2">
        <v>6</v>
      </c>
      <c r="K39" s="2">
        <v>3.5</v>
      </c>
      <c r="L39" s="2">
        <v>1081.12</v>
      </c>
    </row>
    <row r="40" spans="1:12">
      <c r="A40" s="2">
        <v>10039</v>
      </c>
      <c r="B40" s="34">
        <v>44600</v>
      </c>
      <c r="C40" s="2">
        <v>1560</v>
      </c>
      <c r="D40" s="2" t="s">
        <v>19</v>
      </c>
      <c r="E40" s="2" t="s">
        <v>17</v>
      </c>
      <c r="F40" s="2">
        <v>1</v>
      </c>
      <c r="G40" s="2">
        <v>428.42</v>
      </c>
      <c r="H40" s="2">
        <v>0.26</v>
      </c>
      <c r="I40" s="2" t="s">
        <v>18</v>
      </c>
      <c r="J40" s="2">
        <v>10</v>
      </c>
      <c r="K40" s="2">
        <v>1.7</v>
      </c>
      <c r="L40" s="2">
        <v>317.03</v>
      </c>
    </row>
    <row r="41" spans="1:12">
      <c r="A41" s="2">
        <v>10040</v>
      </c>
      <c r="B41" s="34">
        <v>44601</v>
      </c>
      <c r="C41" s="2">
        <v>1474</v>
      </c>
      <c r="D41" s="2" t="s">
        <v>22</v>
      </c>
      <c r="E41" s="2" t="s">
        <v>21</v>
      </c>
      <c r="F41" s="2">
        <v>7</v>
      </c>
      <c r="G41" s="2">
        <v>584.36</v>
      </c>
      <c r="H41" s="2">
        <v>0.11</v>
      </c>
      <c r="I41" s="2" t="s">
        <v>16</v>
      </c>
      <c r="J41" s="2">
        <v>6</v>
      </c>
      <c r="K41" s="2">
        <v>1.3</v>
      </c>
      <c r="L41" s="2">
        <v>3640.56</v>
      </c>
    </row>
    <row r="42" spans="1:12">
      <c r="A42" s="2">
        <v>10041</v>
      </c>
      <c r="B42" s="34">
        <v>44602</v>
      </c>
      <c r="C42" s="2">
        <v>1058</v>
      </c>
      <c r="D42" s="2" t="s">
        <v>19</v>
      </c>
      <c r="E42" s="2" t="s">
        <v>21</v>
      </c>
      <c r="F42" s="2">
        <v>4</v>
      </c>
      <c r="G42" s="2">
        <v>537.49</v>
      </c>
      <c r="H42" s="2">
        <v>0.33</v>
      </c>
      <c r="I42" s="2" t="s">
        <v>16</v>
      </c>
      <c r="J42" s="2">
        <v>5</v>
      </c>
      <c r="K42" s="2">
        <v>2.2</v>
      </c>
      <c r="L42" s="2">
        <v>1440.47</v>
      </c>
    </row>
    <row r="43" spans="1:12">
      <c r="A43" s="2">
        <v>10042</v>
      </c>
      <c r="B43" s="34">
        <v>44603</v>
      </c>
      <c r="C43" s="2">
        <v>1510</v>
      </c>
      <c r="D43" s="2" t="s">
        <v>22</v>
      </c>
      <c r="E43" s="2" t="s">
        <v>20</v>
      </c>
      <c r="F43" s="2">
        <v>4</v>
      </c>
      <c r="G43" s="2">
        <v>215.32</v>
      </c>
      <c r="H43" s="2">
        <v>0.03</v>
      </c>
      <c r="I43" s="2" t="s">
        <v>16</v>
      </c>
      <c r="J43" s="2">
        <v>2</v>
      </c>
      <c r="K43" s="2">
        <v>1.1</v>
      </c>
      <c r="L43" s="2">
        <v>835.44</v>
      </c>
    </row>
    <row r="44" spans="1:12">
      <c r="A44" s="2">
        <v>10043</v>
      </c>
      <c r="B44" s="34">
        <v>44604</v>
      </c>
      <c r="C44" s="2">
        <v>1681</v>
      </c>
      <c r="D44" s="2" t="s">
        <v>19</v>
      </c>
      <c r="E44" s="2" t="s">
        <v>13</v>
      </c>
      <c r="F44" s="2">
        <v>4</v>
      </c>
      <c r="G44" s="2">
        <v>598.95</v>
      </c>
      <c r="H44" s="2">
        <v>0.34</v>
      </c>
      <c r="I44" s="2" t="s">
        <v>16</v>
      </c>
      <c r="J44" s="2">
        <v>7</v>
      </c>
      <c r="K44" s="2">
        <v>4.4</v>
      </c>
      <c r="L44" s="2">
        <v>1581.23</v>
      </c>
    </row>
    <row r="45" spans="1:12">
      <c r="A45" s="2">
        <v>10044</v>
      </c>
      <c r="B45" s="34">
        <v>44605</v>
      </c>
      <c r="C45" s="2">
        <v>1475</v>
      </c>
      <c r="D45" s="2" t="s">
        <v>19</v>
      </c>
      <c r="E45" s="2" t="s">
        <v>21</v>
      </c>
      <c r="F45" s="2">
        <v>1</v>
      </c>
      <c r="G45" s="2">
        <v>17.05</v>
      </c>
      <c r="H45" s="2">
        <v>0.09</v>
      </c>
      <c r="I45" s="2" t="s">
        <v>16</v>
      </c>
      <c r="J45" s="2">
        <v>1</v>
      </c>
      <c r="K45" s="2">
        <v>3.8</v>
      </c>
      <c r="L45" s="2">
        <v>15.52</v>
      </c>
    </row>
    <row r="46" spans="1:12">
      <c r="A46" s="2">
        <v>10045</v>
      </c>
      <c r="B46" s="34">
        <v>44606</v>
      </c>
      <c r="C46" s="2">
        <v>1699</v>
      </c>
      <c r="D46" s="2" t="s">
        <v>22</v>
      </c>
      <c r="E46" s="2" t="s">
        <v>17</v>
      </c>
      <c r="F46" s="2">
        <v>3</v>
      </c>
      <c r="G46" s="2">
        <v>31.16</v>
      </c>
      <c r="H46" s="2">
        <v>0</v>
      </c>
      <c r="I46" s="2" t="s">
        <v>14</v>
      </c>
      <c r="J46" s="2">
        <v>6</v>
      </c>
      <c r="K46" s="2">
        <v>3.3</v>
      </c>
      <c r="L46" s="2">
        <v>93.48</v>
      </c>
    </row>
    <row r="47" spans="1:12">
      <c r="A47" s="2">
        <v>10046</v>
      </c>
      <c r="B47" s="34">
        <v>44607</v>
      </c>
      <c r="C47" s="2">
        <v>1975</v>
      </c>
      <c r="D47" s="2" t="s">
        <v>19</v>
      </c>
      <c r="E47" s="2" t="s">
        <v>21</v>
      </c>
      <c r="F47" s="2">
        <v>6</v>
      </c>
      <c r="G47" s="2">
        <v>496.95</v>
      </c>
      <c r="H47" s="2">
        <v>0.15</v>
      </c>
      <c r="I47" s="2" t="s">
        <v>18</v>
      </c>
      <c r="J47" s="2">
        <v>5</v>
      </c>
      <c r="K47" s="2">
        <v>4.6</v>
      </c>
      <c r="L47" s="2">
        <v>2534.44</v>
      </c>
    </row>
    <row r="48" spans="1:12">
      <c r="A48" s="2">
        <v>10047</v>
      </c>
      <c r="B48" s="34">
        <v>44608</v>
      </c>
      <c r="C48" s="2">
        <v>1782</v>
      </c>
      <c r="D48" s="2" t="s">
        <v>19</v>
      </c>
      <c r="E48" s="2" t="s">
        <v>17</v>
      </c>
      <c r="F48" s="2">
        <v>4</v>
      </c>
      <c r="G48" s="2">
        <v>131.69</v>
      </c>
      <c r="H48" s="2">
        <v>0.13</v>
      </c>
      <c r="I48" s="2" t="s">
        <v>18</v>
      </c>
      <c r="J48" s="2">
        <v>5</v>
      </c>
      <c r="K48" s="2">
        <v>1.4</v>
      </c>
      <c r="L48" s="2">
        <v>458.28</v>
      </c>
    </row>
    <row r="49" spans="1:12">
      <c r="A49" s="2">
        <v>10048</v>
      </c>
      <c r="B49" s="34">
        <v>44609</v>
      </c>
      <c r="C49" s="2">
        <v>1189</v>
      </c>
      <c r="D49" s="2" t="s">
        <v>15</v>
      </c>
      <c r="E49" s="2" t="s">
        <v>20</v>
      </c>
      <c r="F49" s="2">
        <v>1</v>
      </c>
      <c r="G49" s="2">
        <v>50.55</v>
      </c>
      <c r="H49" s="2">
        <v>0.19</v>
      </c>
      <c r="I49" s="2" t="s">
        <v>16</v>
      </c>
      <c r="J49" s="2">
        <v>8</v>
      </c>
      <c r="K49" s="2">
        <v>3.9</v>
      </c>
      <c r="L49" s="2">
        <v>40.95</v>
      </c>
    </row>
    <row r="50" spans="1:12">
      <c r="A50" s="2">
        <v>10049</v>
      </c>
      <c r="B50" s="34">
        <v>44610</v>
      </c>
      <c r="C50" s="2">
        <v>1957</v>
      </c>
      <c r="D50" s="2" t="s">
        <v>19</v>
      </c>
      <c r="E50" s="2" t="s">
        <v>13</v>
      </c>
      <c r="F50" s="2">
        <v>7</v>
      </c>
      <c r="G50" s="2">
        <v>153.73</v>
      </c>
      <c r="H50" s="2">
        <v>0.28</v>
      </c>
      <c r="I50" s="2" t="s">
        <v>16</v>
      </c>
      <c r="J50" s="2">
        <v>9</v>
      </c>
      <c r="K50" s="2">
        <v>1.6</v>
      </c>
      <c r="L50" s="2">
        <v>774.8</v>
      </c>
    </row>
    <row r="51" spans="1:12">
      <c r="A51" s="2">
        <v>10050</v>
      </c>
      <c r="B51" s="34">
        <v>44611</v>
      </c>
      <c r="C51" s="2">
        <v>1686</v>
      </c>
      <c r="D51" s="2" t="s">
        <v>22</v>
      </c>
      <c r="E51" s="2" t="s">
        <v>21</v>
      </c>
      <c r="F51" s="2">
        <v>2</v>
      </c>
      <c r="G51" s="2">
        <v>264.27</v>
      </c>
      <c r="H51" s="2">
        <v>0.29</v>
      </c>
      <c r="I51" s="2" t="s">
        <v>14</v>
      </c>
      <c r="J51" s="2">
        <v>7</v>
      </c>
      <c r="K51" s="2">
        <v>1.2</v>
      </c>
      <c r="L51" s="2">
        <v>375.26</v>
      </c>
    </row>
    <row r="52" spans="1:12">
      <c r="A52" s="2">
        <v>10051</v>
      </c>
      <c r="B52" s="34">
        <v>44612</v>
      </c>
      <c r="C52" s="2">
        <v>1957</v>
      </c>
      <c r="D52" s="2" t="s">
        <v>19</v>
      </c>
      <c r="E52" s="2" t="s">
        <v>13</v>
      </c>
      <c r="F52" s="2">
        <v>7</v>
      </c>
      <c r="G52" s="2">
        <v>442.38</v>
      </c>
      <c r="H52" s="2">
        <v>0.14</v>
      </c>
      <c r="I52" s="2" t="s">
        <v>18</v>
      </c>
      <c r="J52" s="2">
        <v>10</v>
      </c>
      <c r="K52" s="2">
        <v>1.5</v>
      </c>
      <c r="L52" s="2">
        <v>2663.13</v>
      </c>
    </row>
    <row r="53" spans="1:12">
      <c r="A53" s="2">
        <v>10052</v>
      </c>
      <c r="B53" s="34">
        <v>44613</v>
      </c>
      <c r="C53" s="2">
        <v>1562</v>
      </c>
      <c r="D53" s="2" t="s">
        <v>22</v>
      </c>
      <c r="E53" s="2" t="s">
        <v>21</v>
      </c>
      <c r="F53" s="2">
        <v>1</v>
      </c>
      <c r="G53" s="2">
        <v>380.24</v>
      </c>
      <c r="H53" s="2">
        <v>0.15</v>
      </c>
      <c r="I53" s="2" t="s">
        <v>16</v>
      </c>
      <c r="J53" s="2">
        <v>8</v>
      </c>
      <c r="K53" s="2">
        <v>4.8</v>
      </c>
      <c r="L53" s="2">
        <v>323.2</v>
      </c>
    </row>
    <row r="54" spans="1:12">
      <c r="A54" s="2">
        <v>10053</v>
      </c>
      <c r="B54" s="34">
        <v>44614</v>
      </c>
      <c r="C54" s="2">
        <v>1875</v>
      </c>
      <c r="D54" s="2" t="s">
        <v>12</v>
      </c>
      <c r="E54" s="2" t="s">
        <v>17</v>
      </c>
      <c r="F54" s="2">
        <v>1</v>
      </c>
      <c r="G54" s="2">
        <v>154.01</v>
      </c>
      <c r="H54" s="2">
        <v>0.05</v>
      </c>
      <c r="I54" s="2" t="s">
        <v>16</v>
      </c>
      <c r="J54" s="2">
        <v>2</v>
      </c>
      <c r="K54" s="2">
        <v>2.8</v>
      </c>
      <c r="L54" s="2">
        <v>146.31</v>
      </c>
    </row>
    <row r="55" spans="1:12">
      <c r="A55" s="2">
        <v>10054</v>
      </c>
      <c r="B55" s="34">
        <v>44615</v>
      </c>
      <c r="C55" s="2">
        <v>1566</v>
      </c>
      <c r="D55" s="2" t="s">
        <v>15</v>
      </c>
      <c r="E55" s="2" t="s">
        <v>13</v>
      </c>
      <c r="F55" s="2">
        <v>1</v>
      </c>
      <c r="G55" s="2">
        <v>309.41</v>
      </c>
      <c r="H55" s="2">
        <v>0.02</v>
      </c>
      <c r="I55" s="2" t="s">
        <v>18</v>
      </c>
      <c r="J55" s="2">
        <v>2</v>
      </c>
      <c r="K55" s="2">
        <v>1.2</v>
      </c>
      <c r="L55" s="2">
        <v>303.22</v>
      </c>
    </row>
    <row r="56" spans="1:12">
      <c r="A56" s="2">
        <v>10055</v>
      </c>
      <c r="B56" s="34">
        <v>44616</v>
      </c>
      <c r="C56" s="2">
        <v>1243</v>
      </c>
      <c r="D56" s="2" t="s">
        <v>12</v>
      </c>
      <c r="E56" s="2" t="s">
        <v>21</v>
      </c>
      <c r="F56" s="2">
        <v>4</v>
      </c>
      <c r="G56" s="2">
        <v>556.84</v>
      </c>
      <c r="H56" s="2">
        <v>0.22</v>
      </c>
      <c r="I56" s="2" t="s">
        <v>14</v>
      </c>
      <c r="J56" s="2">
        <v>8</v>
      </c>
      <c r="K56" s="2">
        <v>3.3</v>
      </c>
      <c r="L56" s="2">
        <v>1737.34</v>
      </c>
    </row>
    <row r="57" spans="1:12">
      <c r="A57" s="2">
        <v>10056</v>
      </c>
      <c r="B57" s="34">
        <v>44617</v>
      </c>
      <c r="C57" s="2">
        <v>1831</v>
      </c>
      <c r="D57" s="2" t="s">
        <v>15</v>
      </c>
      <c r="E57" s="2" t="s">
        <v>20</v>
      </c>
      <c r="F57" s="2">
        <v>1</v>
      </c>
      <c r="G57" s="2">
        <v>491.78</v>
      </c>
      <c r="H57" s="2">
        <v>0.02</v>
      </c>
      <c r="I57" s="2" t="s">
        <v>16</v>
      </c>
      <c r="J57" s="2">
        <v>6</v>
      </c>
      <c r="K57" s="2">
        <v>1.8</v>
      </c>
      <c r="L57" s="2">
        <v>481.94</v>
      </c>
    </row>
    <row r="58" spans="1:12">
      <c r="A58" s="2">
        <v>10057</v>
      </c>
      <c r="B58" s="34">
        <v>44618</v>
      </c>
      <c r="C58" s="2">
        <v>1504</v>
      </c>
      <c r="D58" s="2" t="s">
        <v>12</v>
      </c>
      <c r="E58" s="2" t="s">
        <v>17</v>
      </c>
      <c r="F58" s="2">
        <v>2</v>
      </c>
      <c r="G58" s="2">
        <v>204.07</v>
      </c>
      <c r="H58" s="2">
        <v>0.26</v>
      </c>
      <c r="I58" s="2" t="s">
        <v>18</v>
      </c>
      <c r="J58" s="2">
        <v>8</v>
      </c>
      <c r="K58" s="2">
        <v>1</v>
      </c>
      <c r="L58" s="2">
        <v>302.02</v>
      </c>
    </row>
    <row r="59" spans="1:12">
      <c r="A59" s="2">
        <v>10058</v>
      </c>
      <c r="B59" s="34">
        <v>44619</v>
      </c>
      <c r="C59" s="2">
        <v>1130</v>
      </c>
      <c r="D59" s="2" t="s">
        <v>19</v>
      </c>
      <c r="E59" s="2" t="s">
        <v>13</v>
      </c>
      <c r="F59" s="2">
        <v>4</v>
      </c>
      <c r="G59" s="2">
        <v>589.62</v>
      </c>
      <c r="H59" s="2">
        <v>0.19</v>
      </c>
      <c r="I59" s="2" t="s">
        <v>18</v>
      </c>
      <c r="J59" s="2">
        <v>9</v>
      </c>
      <c r="K59" s="2">
        <v>4</v>
      </c>
      <c r="L59" s="2">
        <v>1910.37</v>
      </c>
    </row>
    <row r="60" spans="1:12">
      <c r="A60" s="2">
        <v>10059</v>
      </c>
      <c r="B60" s="34">
        <v>44620</v>
      </c>
      <c r="C60" s="2">
        <v>1484</v>
      </c>
      <c r="D60" s="2" t="s">
        <v>22</v>
      </c>
      <c r="E60" s="2" t="s">
        <v>21</v>
      </c>
      <c r="F60" s="2">
        <v>7</v>
      </c>
      <c r="G60" s="2">
        <v>429.54</v>
      </c>
      <c r="H60" s="2">
        <v>0.07</v>
      </c>
      <c r="I60" s="2" t="s">
        <v>14</v>
      </c>
      <c r="J60" s="2">
        <v>9</v>
      </c>
      <c r="K60" s="2">
        <v>1.6</v>
      </c>
      <c r="L60" s="2">
        <v>2796.31</v>
      </c>
    </row>
    <row r="61" spans="1:12">
      <c r="A61" s="2">
        <v>10060</v>
      </c>
      <c r="B61" s="34">
        <v>44621</v>
      </c>
      <c r="C61" s="2">
        <v>1818</v>
      </c>
      <c r="D61" s="2" t="s">
        <v>15</v>
      </c>
      <c r="E61" s="2" t="s">
        <v>13</v>
      </c>
      <c r="F61" s="2">
        <v>2</v>
      </c>
      <c r="G61" s="2">
        <v>51.53</v>
      </c>
      <c r="H61" s="2">
        <v>0.19</v>
      </c>
      <c r="I61" s="2" t="s">
        <v>14</v>
      </c>
      <c r="J61" s="2">
        <v>11</v>
      </c>
      <c r="K61" s="2">
        <v>4.8</v>
      </c>
      <c r="L61" s="2">
        <v>83.48</v>
      </c>
    </row>
    <row r="62" spans="1:12">
      <c r="A62" s="2">
        <v>10061</v>
      </c>
      <c r="B62" s="34">
        <v>44622</v>
      </c>
      <c r="C62" s="2">
        <v>1646</v>
      </c>
      <c r="D62" s="2" t="s">
        <v>15</v>
      </c>
      <c r="E62" s="2" t="s">
        <v>21</v>
      </c>
      <c r="F62" s="2">
        <v>5</v>
      </c>
      <c r="G62" s="2">
        <v>35.57</v>
      </c>
      <c r="H62" s="2">
        <v>0.06</v>
      </c>
      <c r="I62" s="2" t="s">
        <v>16</v>
      </c>
      <c r="J62" s="2">
        <v>6</v>
      </c>
      <c r="K62" s="2">
        <v>3.4</v>
      </c>
      <c r="L62" s="2">
        <v>167.18</v>
      </c>
    </row>
    <row r="63" spans="1:12">
      <c r="A63" s="2">
        <v>10062</v>
      </c>
      <c r="B63" s="34">
        <v>44623</v>
      </c>
      <c r="C63" s="2">
        <v>1020</v>
      </c>
      <c r="D63" s="2" t="s">
        <v>15</v>
      </c>
      <c r="E63" s="2" t="s">
        <v>17</v>
      </c>
      <c r="F63" s="2">
        <v>7</v>
      </c>
      <c r="G63" s="2">
        <v>113.52</v>
      </c>
      <c r="H63" s="2">
        <v>0.15</v>
      </c>
      <c r="I63" s="2" t="s">
        <v>18</v>
      </c>
      <c r="J63" s="2">
        <v>8</v>
      </c>
      <c r="K63" s="2">
        <v>1.3</v>
      </c>
      <c r="L63" s="2">
        <v>675.44</v>
      </c>
    </row>
    <row r="64" spans="1:12">
      <c r="A64" s="2">
        <v>10063</v>
      </c>
      <c r="B64" s="34">
        <v>44624</v>
      </c>
      <c r="C64" s="2">
        <v>1840</v>
      </c>
      <c r="D64" s="2" t="s">
        <v>22</v>
      </c>
      <c r="E64" s="2" t="s">
        <v>20</v>
      </c>
      <c r="F64" s="2">
        <v>1</v>
      </c>
      <c r="G64" s="2">
        <v>440.8</v>
      </c>
      <c r="H64" s="2">
        <v>0.28</v>
      </c>
      <c r="I64" s="2" t="s">
        <v>18</v>
      </c>
      <c r="J64" s="2">
        <v>2</v>
      </c>
      <c r="K64" s="2">
        <v>1.9</v>
      </c>
      <c r="L64" s="2">
        <v>317.38</v>
      </c>
    </row>
    <row r="65" spans="1:12">
      <c r="A65" s="2">
        <v>10064</v>
      </c>
      <c r="B65" s="34">
        <v>44625</v>
      </c>
      <c r="C65" s="2">
        <v>1166</v>
      </c>
      <c r="D65" s="2" t="s">
        <v>19</v>
      </c>
      <c r="E65" s="2" t="s">
        <v>17</v>
      </c>
      <c r="F65" s="2">
        <v>6</v>
      </c>
      <c r="G65" s="2">
        <v>122.49</v>
      </c>
      <c r="H65" s="2">
        <v>0.16</v>
      </c>
      <c r="I65" s="2" t="s">
        <v>18</v>
      </c>
      <c r="J65" s="2">
        <v>8</v>
      </c>
      <c r="K65" s="2">
        <v>3.4</v>
      </c>
      <c r="L65" s="2">
        <v>617.35</v>
      </c>
    </row>
    <row r="66" spans="1:12">
      <c r="A66" s="2">
        <v>10065</v>
      </c>
      <c r="B66" s="34">
        <v>44626</v>
      </c>
      <c r="C66" s="2">
        <v>1273</v>
      </c>
      <c r="D66" s="2" t="s">
        <v>19</v>
      </c>
      <c r="E66" s="2" t="s">
        <v>13</v>
      </c>
      <c r="F66" s="2">
        <v>6</v>
      </c>
      <c r="G66" s="2">
        <v>314.22</v>
      </c>
      <c r="H66" s="2">
        <v>0.05</v>
      </c>
      <c r="I66" s="2" t="s">
        <v>14</v>
      </c>
      <c r="J66" s="2">
        <v>3</v>
      </c>
      <c r="K66" s="2">
        <v>2.4</v>
      </c>
      <c r="L66" s="2">
        <v>1791.05</v>
      </c>
    </row>
    <row r="67" spans="1:12">
      <c r="A67" s="2">
        <v>10066</v>
      </c>
      <c r="B67" s="34">
        <v>44627</v>
      </c>
      <c r="C67" s="2">
        <v>1387</v>
      </c>
      <c r="D67" s="2" t="s">
        <v>22</v>
      </c>
      <c r="E67" s="2" t="s">
        <v>13</v>
      </c>
      <c r="F67" s="2">
        <v>4</v>
      </c>
      <c r="G67" s="2">
        <v>69.56</v>
      </c>
      <c r="H67" s="2">
        <v>0.25</v>
      </c>
      <c r="I67" s="2" t="s">
        <v>14</v>
      </c>
      <c r="J67" s="2">
        <v>1</v>
      </c>
      <c r="K67" s="2">
        <v>3.1</v>
      </c>
      <c r="L67" s="2">
        <v>208.68</v>
      </c>
    </row>
    <row r="68" spans="1:12">
      <c r="A68" s="2">
        <v>10067</v>
      </c>
      <c r="B68" s="34">
        <v>44628</v>
      </c>
      <c r="C68" s="2">
        <v>1600</v>
      </c>
      <c r="D68" s="2" t="s">
        <v>22</v>
      </c>
      <c r="E68" s="2" t="s">
        <v>21</v>
      </c>
      <c r="F68" s="2">
        <v>6</v>
      </c>
      <c r="G68" s="2">
        <v>553.72</v>
      </c>
      <c r="H68" s="2">
        <v>0.07</v>
      </c>
      <c r="I68" s="2" t="s">
        <v>16</v>
      </c>
      <c r="J68" s="2">
        <v>7</v>
      </c>
      <c r="K68" s="2">
        <v>4.2</v>
      </c>
      <c r="L68" s="2">
        <v>3089.76</v>
      </c>
    </row>
    <row r="69" spans="1:12">
      <c r="A69" s="2">
        <v>10068</v>
      </c>
      <c r="B69" s="34">
        <v>44629</v>
      </c>
      <c r="C69" s="2">
        <v>1315</v>
      </c>
      <c r="D69" s="2" t="s">
        <v>12</v>
      </c>
      <c r="E69" s="2" t="s">
        <v>17</v>
      </c>
      <c r="F69" s="2">
        <v>7</v>
      </c>
      <c r="G69" s="2">
        <v>216.22</v>
      </c>
      <c r="H69" s="2">
        <v>0.26</v>
      </c>
      <c r="I69" s="2" t="s">
        <v>16</v>
      </c>
      <c r="J69" s="2">
        <v>1</v>
      </c>
      <c r="K69" s="2">
        <v>4.2</v>
      </c>
      <c r="L69" s="2">
        <v>1120.02</v>
      </c>
    </row>
    <row r="70" spans="1:12">
      <c r="A70" s="2">
        <v>10069</v>
      </c>
      <c r="B70" s="34">
        <v>44630</v>
      </c>
      <c r="C70" s="2">
        <v>1013</v>
      </c>
      <c r="D70" s="2" t="s">
        <v>22</v>
      </c>
      <c r="E70" s="2" t="s">
        <v>21</v>
      </c>
      <c r="F70" s="2">
        <v>4</v>
      </c>
      <c r="G70" s="2">
        <v>546.26</v>
      </c>
      <c r="H70" s="2">
        <v>0.17</v>
      </c>
      <c r="I70" s="2" t="s">
        <v>18</v>
      </c>
      <c r="J70" s="2">
        <v>11</v>
      </c>
      <c r="K70" s="2">
        <v>3.8</v>
      </c>
      <c r="L70" s="2">
        <v>1813.58</v>
      </c>
    </row>
    <row r="71" spans="1:12">
      <c r="A71" s="2">
        <v>10070</v>
      </c>
      <c r="B71" s="34">
        <v>44631</v>
      </c>
      <c r="C71" s="2">
        <v>1241</v>
      </c>
      <c r="D71" s="2" t="s">
        <v>12</v>
      </c>
      <c r="E71" s="2" t="s">
        <v>17</v>
      </c>
      <c r="F71" s="2">
        <v>7</v>
      </c>
      <c r="G71" s="2">
        <v>567.75</v>
      </c>
      <c r="H71" s="2">
        <v>0.16</v>
      </c>
      <c r="I71" s="2" t="s">
        <v>16</v>
      </c>
      <c r="J71" s="2">
        <v>1</v>
      </c>
      <c r="K71" s="2">
        <v>4.5</v>
      </c>
      <c r="L71" s="2">
        <v>3338.37</v>
      </c>
    </row>
    <row r="72" spans="1:12">
      <c r="A72" s="2">
        <v>10071</v>
      </c>
      <c r="B72" s="34">
        <v>44632</v>
      </c>
      <c r="C72" s="2">
        <v>1776</v>
      </c>
      <c r="D72" s="2" t="s">
        <v>22</v>
      </c>
      <c r="E72" s="2" t="s">
        <v>13</v>
      </c>
      <c r="F72" s="2">
        <v>1</v>
      </c>
      <c r="G72" s="2">
        <v>18.59</v>
      </c>
      <c r="H72" s="2">
        <v>0.3</v>
      </c>
      <c r="I72" s="2" t="s">
        <v>16</v>
      </c>
      <c r="J72" s="2">
        <v>1</v>
      </c>
      <c r="K72" s="2">
        <v>1.8</v>
      </c>
      <c r="L72" s="2">
        <v>13.01</v>
      </c>
    </row>
    <row r="73" spans="1:12">
      <c r="A73" s="2">
        <v>10072</v>
      </c>
      <c r="B73" s="34">
        <v>44633</v>
      </c>
      <c r="C73" s="2">
        <v>1345</v>
      </c>
      <c r="D73" s="2" t="s">
        <v>19</v>
      </c>
      <c r="E73" s="2" t="s">
        <v>21</v>
      </c>
      <c r="F73" s="2">
        <v>3</v>
      </c>
      <c r="G73" s="2">
        <v>286.52</v>
      </c>
      <c r="H73" s="2">
        <v>0.25</v>
      </c>
      <c r="I73" s="2" t="s">
        <v>16</v>
      </c>
      <c r="J73" s="2">
        <v>4</v>
      </c>
      <c r="K73" s="2">
        <v>1.7</v>
      </c>
      <c r="L73" s="2">
        <v>644.67</v>
      </c>
    </row>
    <row r="74" spans="1:12">
      <c r="A74" s="2">
        <v>10073</v>
      </c>
      <c r="B74" s="34">
        <v>44634</v>
      </c>
      <c r="C74" s="2">
        <v>1564</v>
      </c>
      <c r="D74" s="2" t="s">
        <v>19</v>
      </c>
      <c r="E74" s="2" t="s">
        <v>21</v>
      </c>
      <c r="F74" s="2">
        <v>3</v>
      </c>
      <c r="G74" s="2">
        <v>29.42</v>
      </c>
      <c r="H74" s="2">
        <v>0.01</v>
      </c>
      <c r="I74" s="2" t="s">
        <v>14</v>
      </c>
      <c r="J74" s="2">
        <v>4</v>
      </c>
      <c r="K74" s="2">
        <v>4.2</v>
      </c>
      <c r="L74" s="2">
        <v>87.38</v>
      </c>
    </row>
    <row r="75" spans="1:12">
      <c r="A75" s="2">
        <v>10074</v>
      </c>
      <c r="B75" s="34">
        <v>44635</v>
      </c>
      <c r="C75" s="2">
        <v>1897</v>
      </c>
      <c r="D75" s="2" t="s">
        <v>22</v>
      </c>
      <c r="E75" s="2" t="s">
        <v>17</v>
      </c>
      <c r="F75" s="2">
        <v>2</v>
      </c>
      <c r="G75" s="2">
        <v>546.59</v>
      </c>
      <c r="H75" s="2">
        <v>0.1</v>
      </c>
      <c r="I75" s="2" t="s">
        <v>16</v>
      </c>
      <c r="J75" s="2">
        <v>10</v>
      </c>
      <c r="K75" s="2">
        <v>2.3</v>
      </c>
      <c r="L75" s="2">
        <v>983.86</v>
      </c>
    </row>
    <row r="76" spans="1:12">
      <c r="A76" s="2">
        <v>10075</v>
      </c>
      <c r="B76" s="34">
        <v>44636</v>
      </c>
      <c r="C76" s="2">
        <v>1339</v>
      </c>
      <c r="D76" s="2" t="s">
        <v>15</v>
      </c>
      <c r="E76" s="2" t="s">
        <v>20</v>
      </c>
      <c r="F76" s="2">
        <v>1</v>
      </c>
      <c r="G76" s="2">
        <v>318.27</v>
      </c>
      <c r="H76" s="2">
        <v>0.3</v>
      </c>
      <c r="I76" s="2" t="s">
        <v>18</v>
      </c>
      <c r="J76" s="2">
        <v>11</v>
      </c>
      <c r="K76" s="2">
        <v>3</v>
      </c>
      <c r="L76" s="2">
        <v>222.79</v>
      </c>
    </row>
    <row r="77" spans="1:12">
      <c r="A77" s="2">
        <v>10076</v>
      </c>
      <c r="B77" s="34">
        <v>44637</v>
      </c>
      <c r="C77" s="2">
        <v>1091</v>
      </c>
      <c r="D77" s="2" t="s">
        <v>19</v>
      </c>
      <c r="E77" s="2" t="s">
        <v>17</v>
      </c>
      <c r="F77" s="2">
        <v>6</v>
      </c>
      <c r="G77" s="2">
        <v>58.84</v>
      </c>
      <c r="H77" s="2">
        <v>0.01</v>
      </c>
      <c r="I77" s="2" t="s">
        <v>16</v>
      </c>
      <c r="J77" s="2">
        <v>6</v>
      </c>
      <c r="K77" s="2">
        <v>4</v>
      </c>
      <c r="L77" s="2">
        <v>349.51</v>
      </c>
    </row>
    <row r="78" spans="1:12">
      <c r="A78" s="2">
        <v>10077</v>
      </c>
      <c r="B78" s="34">
        <v>44638</v>
      </c>
      <c r="C78" s="2">
        <v>1366</v>
      </c>
      <c r="D78" s="2" t="s">
        <v>15</v>
      </c>
      <c r="E78" s="2" t="s">
        <v>20</v>
      </c>
      <c r="F78" s="2">
        <v>1</v>
      </c>
      <c r="G78" s="2">
        <v>79.51</v>
      </c>
      <c r="H78" s="2">
        <v>0.19</v>
      </c>
      <c r="I78" s="2" t="s">
        <v>16</v>
      </c>
      <c r="J78" s="2">
        <v>10</v>
      </c>
      <c r="K78" s="2">
        <v>2.6</v>
      </c>
      <c r="L78" s="2">
        <v>64.4</v>
      </c>
    </row>
    <row r="79" spans="1:12">
      <c r="A79" s="2">
        <v>10078</v>
      </c>
      <c r="B79" s="34">
        <v>44639</v>
      </c>
      <c r="C79" s="2">
        <v>1955</v>
      </c>
      <c r="D79" s="2" t="s">
        <v>12</v>
      </c>
      <c r="E79" s="2" t="s">
        <v>17</v>
      </c>
      <c r="F79" s="2">
        <v>5</v>
      </c>
      <c r="G79" s="2">
        <v>239.35</v>
      </c>
      <c r="H79" s="2">
        <v>0.25</v>
      </c>
      <c r="I79" s="2" t="s">
        <v>16</v>
      </c>
      <c r="J79" s="2">
        <v>3</v>
      </c>
      <c r="K79" s="2">
        <v>1.5</v>
      </c>
      <c r="L79" s="2">
        <v>897.56</v>
      </c>
    </row>
    <row r="80" spans="1:12">
      <c r="A80" s="2">
        <v>10079</v>
      </c>
      <c r="B80" s="34">
        <v>44640</v>
      </c>
      <c r="C80" s="2">
        <v>1454</v>
      </c>
      <c r="D80" s="2" t="s">
        <v>15</v>
      </c>
      <c r="E80" s="2" t="s">
        <v>13</v>
      </c>
      <c r="F80" s="2">
        <v>3</v>
      </c>
      <c r="G80" s="2">
        <v>565.04</v>
      </c>
      <c r="H80" s="2">
        <v>0.22</v>
      </c>
      <c r="I80" s="2" t="s">
        <v>16</v>
      </c>
      <c r="J80" s="2">
        <v>10</v>
      </c>
      <c r="K80" s="2">
        <v>3.7</v>
      </c>
      <c r="L80" s="2">
        <v>1322.19</v>
      </c>
    </row>
    <row r="81" spans="1:12">
      <c r="A81" s="2">
        <v>10080</v>
      </c>
      <c r="B81" s="34">
        <v>44641</v>
      </c>
      <c r="C81" s="2">
        <v>1427</v>
      </c>
      <c r="D81" s="2" t="s">
        <v>15</v>
      </c>
      <c r="E81" s="2" t="s">
        <v>21</v>
      </c>
      <c r="F81" s="2">
        <v>6</v>
      </c>
      <c r="G81" s="2">
        <v>420.35</v>
      </c>
      <c r="H81" s="2">
        <v>0.27</v>
      </c>
      <c r="I81" s="2" t="s">
        <v>14</v>
      </c>
      <c r="J81" s="2">
        <v>6</v>
      </c>
      <c r="K81" s="2">
        <v>4.3</v>
      </c>
      <c r="L81" s="2">
        <v>1841.13</v>
      </c>
    </row>
    <row r="82" spans="1:12">
      <c r="A82" s="2">
        <v>10081</v>
      </c>
      <c r="B82" s="34">
        <v>44642</v>
      </c>
      <c r="C82" s="2">
        <v>1508</v>
      </c>
      <c r="D82" s="2" t="s">
        <v>15</v>
      </c>
      <c r="E82" s="2" t="s">
        <v>17</v>
      </c>
      <c r="F82" s="2">
        <v>7</v>
      </c>
      <c r="G82" s="2">
        <v>522.56</v>
      </c>
      <c r="H82" s="2">
        <v>0.25</v>
      </c>
      <c r="I82" s="2" t="s">
        <v>14</v>
      </c>
      <c r="J82" s="2">
        <v>7</v>
      </c>
      <c r="K82" s="2">
        <v>1.1</v>
      </c>
      <c r="L82" s="2">
        <v>2743.44</v>
      </c>
    </row>
    <row r="83" spans="1:12">
      <c r="A83" s="2">
        <v>10082</v>
      </c>
      <c r="B83" s="34">
        <v>44643</v>
      </c>
      <c r="C83" s="2">
        <v>1775</v>
      </c>
      <c r="D83" s="2" t="s">
        <v>19</v>
      </c>
      <c r="E83" s="2" t="s">
        <v>13</v>
      </c>
      <c r="F83" s="2">
        <v>7</v>
      </c>
      <c r="G83" s="2">
        <v>229.38</v>
      </c>
      <c r="H83" s="2">
        <v>0.24</v>
      </c>
      <c r="I83" s="2" t="s">
        <v>18</v>
      </c>
      <c r="J83" s="2">
        <v>11</v>
      </c>
      <c r="K83" s="2">
        <v>3.3</v>
      </c>
      <c r="L83" s="2">
        <v>1220.3</v>
      </c>
    </row>
    <row r="84" spans="1:12">
      <c r="A84" s="2">
        <v>10083</v>
      </c>
      <c r="B84" s="34">
        <v>44644</v>
      </c>
      <c r="C84" s="2">
        <v>1942</v>
      </c>
      <c r="D84" s="2" t="s">
        <v>15</v>
      </c>
      <c r="E84" s="2" t="s">
        <v>17</v>
      </c>
      <c r="F84" s="2">
        <v>3</v>
      </c>
      <c r="G84" s="2">
        <v>40.28</v>
      </c>
      <c r="H84" s="2">
        <v>0.29</v>
      </c>
      <c r="I84" s="2" t="s">
        <v>16</v>
      </c>
      <c r="J84" s="2">
        <v>1</v>
      </c>
      <c r="K84" s="2">
        <v>2.9</v>
      </c>
      <c r="L84" s="2">
        <v>85.8</v>
      </c>
    </row>
    <row r="85" spans="1:12">
      <c r="A85" s="2">
        <v>10084</v>
      </c>
      <c r="B85" s="34">
        <v>44645</v>
      </c>
      <c r="C85" s="2">
        <v>1034</v>
      </c>
      <c r="D85" s="2" t="s">
        <v>15</v>
      </c>
      <c r="E85" s="2" t="s">
        <v>21</v>
      </c>
      <c r="F85" s="2">
        <v>1</v>
      </c>
      <c r="G85" s="2">
        <v>584.98</v>
      </c>
      <c r="H85" s="2">
        <v>0.23</v>
      </c>
      <c r="I85" s="2" t="s">
        <v>18</v>
      </c>
      <c r="J85" s="2">
        <v>6</v>
      </c>
      <c r="K85" s="2">
        <v>2</v>
      </c>
      <c r="L85" s="2">
        <v>450.43</v>
      </c>
    </row>
    <row r="86" spans="1:12">
      <c r="A86" s="2">
        <v>10085</v>
      </c>
      <c r="B86" s="34">
        <v>44646</v>
      </c>
      <c r="C86" s="2">
        <v>1205</v>
      </c>
      <c r="D86" s="2" t="s">
        <v>19</v>
      </c>
      <c r="E86" s="2" t="s">
        <v>17</v>
      </c>
      <c r="F86" s="2">
        <v>6</v>
      </c>
      <c r="G86" s="2">
        <v>25.05</v>
      </c>
      <c r="H86" s="2">
        <v>0.14</v>
      </c>
      <c r="I86" s="2" t="s">
        <v>16</v>
      </c>
      <c r="J86" s="2">
        <v>10</v>
      </c>
      <c r="K86" s="2">
        <v>1.6</v>
      </c>
      <c r="L86" s="2">
        <v>129.26</v>
      </c>
    </row>
    <row r="87" spans="1:12">
      <c r="A87" s="2">
        <v>10086</v>
      </c>
      <c r="B87" s="34">
        <v>44647</v>
      </c>
      <c r="C87" s="2">
        <v>1080</v>
      </c>
      <c r="D87" s="2" t="s">
        <v>22</v>
      </c>
      <c r="E87" s="2" t="s">
        <v>20</v>
      </c>
      <c r="F87" s="2">
        <v>2</v>
      </c>
      <c r="G87" s="2">
        <v>569.38</v>
      </c>
      <c r="H87" s="2">
        <v>0.17</v>
      </c>
      <c r="I87" s="2" t="s">
        <v>16</v>
      </c>
      <c r="J87" s="2">
        <v>1</v>
      </c>
      <c r="K87" s="2">
        <v>1.8</v>
      </c>
      <c r="L87" s="2">
        <v>945.17</v>
      </c>
    </row>
    <row r="88" spans="1:12">
      <c r="A88" s="2">
        <v>10087</v>
      </c>
      <c r="B88" s="34">
        <v>44648</v>
      </c>
      <c r="C88" s="2">
        <v>1931</v>
      </c>
      <c r="D88" s="2" t="s">
        <v>15</v>
      </c>
      <c r="E88" s="2" t="s">
        <v>21</v>
      </c>
      <c r="F88" s="2">
        <v>7</v>
      </c>
      <c r="G88" s="2">
        <v>230.68</v>
      </c>
      <c r="H88" s="2">
        <v>0.25</v>
      </c>
      <c r="I88" s="2" t="s">
        <v>18</v>
      </c>
      <c r="J88" s="2">
        <v>7</v>
      </c>
      <c r="K88" s="2">
        <v>3.9</v>
      </c>
      <c r="L88" s="2">
        <v>1211.07</v>
      </c>
    </row>
    <row r="89" spans="1:12">
      <c r="A89" s="2">
        <v>10088</v>
      </c>
      <c r="B89" s="34">
        <v>44649</v>
      </c>
      <c r="C89" s="2">
        <v>1561</v>
      </c>
      <c r="D89" s="2" t="s">
        <v>22</v>
      </c>
      <c r="E89" s="2" t="s">
        <v>20</v>
      </c>
      <c r="F89" s="2">
        <v>1</v>
      </c>
      <c r="G89" s="2">
        <v>20.9</v>
      </c>
      <c r="H89" s="2">
        <v>0.31</v>
      </c>
      <c r="I89" s="2" t="s">
        <v>18</v>
      </c>
      <c r="J89" s="2">
        <v>10</v>
      </c>
      <c r="K89" s="2">
        <v>3.1</v>
      </c>
      <c r="L89" s="2">
        <v>14.42</v>
      </c>
    </row>
    <row r="90" spans="1:12">
      <c r="A90" s="2">
        <v>10089</v>
      </c>
      <c r="B90" s="34">
        <v>44650</v>
      </c>
      <c r="C90" s="2">
        <v>1871</v>
      </c>
      <c r="D90" s="2" t="s">
        <v>12</v>
      </c>
      <c r="E90" s="2" t="s">
        <v>13</v>
      </c>
      <c r="F90" s="2">
        <v>2</v>
      </c>
      <c r="G90" s="2">
        <v>418.16</v>
      </c>
      <c r="H90" s="2">
        <v>0.1</v>
      </c>
      <c r="I90" s="2" t="s">
        <v>16</v>
      </c>
      <c r="J90" s="2">
        <v>5</v>
      </c>
      <c r="K90" s="2">
        <v>4.9</v>
      </c>
      <c r="L90" s="2">
        <v>752.69</v>
      </c>
    </row>
    <row r="91" spans="1:12">
      <c r="A91" s="2">
        <v>10090</v>
      </c>
      <c r="B91" s="34">
        <v>44651</v>
      </c>
      <c r="C91" s="2">
        <v>1387</v>
      </c>
      <c r="D91" s="2" t="s">
        <v>19</v>
      </c>
      <c r="E91" s="2" t="s">
        <v>13</v>
      </c>
      <c r="F91" s="2">
        <v>6</v>
      </c>
      <c r="G91" s="2">
        <v>588.62</v>
      </c>
      <c r="H91" s="2">
        <v>0.12</v>
      </c>
      <c r="I91" s="2" t="s">
        <v>16</v>
      </c>
      <c r="J91" s="2">
        <v>10</v>
      </c>
      <c r="K91" s="2">
        <v>2</v>
      </c>
      <c r="L91" s="2">
        <v>3107.91</v>
      </c>
    </row>
    <row r="92" spans="1:12">
      <c r="A92" s="2">
        <v>10091</v>
      </c>
      <c r="B92" s="34">
        <v>44652</v>
      </c>
      <c r="C92" s="2">
        <v>1001</v>
      </c>
      <c r="D92" s="2" t="s">
        <v>22</v>
      </c>
      <c r="E92" s="2" t="s">
        <v>17</v>
      </c>
      <c r="F92" s="2">
        <v>3</v>
      </c>
      <c r="G92" s="2">
        <v>579.89</v>
      </c>
      <c r="H92" s="2">
        <v>0.33</v>
      </c>
      <c r="I92" s="2" t="s">
        <v>14</v>
      </c>
      <c r="J92" s="2">
        <v>4</v>
      </c>
      <c r="K92" s="2">
        <v>4.8</v>
      </c>
      <c r="L92" s="2">
        <v>1165.58</v>
      </c>
    </row>
    <row r="93" spans="1:12">
      <c r="A93" s="2">
        <v>10092</v>
      </c>
      <c r="B93" s="34">
        <v>44653</v>
      </c>
      <c r="C93" s="2">
        <v>1389</v>
      </c>
      <c r="D93" s="2" t="s">
        <v>15</v>
      </c>
      <c r="E93" s="2" t="s">
        <v>20</v>
      </c>
      <c r="F93" s="2">
        <v>5</v>
      </c>
      <c r="G93" s="2">
        <v>109.15</v>
      </c>
      <c r="H93" s="2">
        <v>0.2</v>
      </c>
      <c r="I93" s="2" t="s">
        <v>16</v>
      </c>
      <c r="J93" s="2">
        <v>1</v>
      </c>
      <c r="K93" s="2">
        <v>3.1</v>
      </c>
      <c r="L93" s="2">
        <v>436.6</v>
      </c>
    </row>
    <row r="94" spans="1:12">
      <c r="A94" s="2">
        <v>10093</v>
      </c>
      <c r="B94" s="34">
        <v>44654</v>
      </c>
      <c r="C94" s="2">
        <v>1565</v>
      </c>
      <c r="D94" s="2" t="s">
        <v>12</v>
      </c>
      <c r="E94" s="2" t="s">
        <v>20</v>
      </c>
      <c r="F94" s="2">
        <v>4</v>
      </c>
      <c r="G94" s="2">
        <v>121.03</v>
      </c>
      <c r="H94" s="2">
        <v>0.06</v>
      </c>
      <c r="I94" s="2" t="s">
        <v>14</v>
      </c>
      <c r="J94" s="2">
        <v>9</v>
      </c>
      <c r="K94" s="2">
        <v>1.6</v>
      </c>
      <c r="L94" s="2">
        <v>455.07</v>
      </c>
    </row>
    <row r="95" spans="1:12">
      <c r="A95" s="2">
        <v>10094</v>
      </c>
      <c r="B95" s="34">
        <v>44655</v>
      </c>
      <c r="C95" s="2">
        <v>1105</v>
      </c>
      <c r="D95" s="2" t="s">
        <v>19</v>
      </c>
      <c r="E95" s="2" t="s">
        <v>21</v>
      </c>
      <c r="F95" s="2">
        <v>3</v>
      </c>
      <c r="G95" s="2">
        <v>345.84</v>
      </c>
      <c r="H95" s="2">
        <v>0.23</v>
      </c>
      <c r="I95" s="2" t="s">
        <v>14</v>
      </c>
      <c r="J95" s="2">
        <v>7</v>
      </c>
      <c r="K95" s="2">
        <v>1.6</v>
      </c>
      <c r="L95" s="2">
        <v>798.89</v>
      </c>
    </row>
    <row r="96" spans="1:12">
      <c r="A96" s="2">
        <v>10095</v>
      </c>
      <c r="B96" s="34">
        <v>44656</v>
      </c>
      <c r="C96" s="2">
        <v>1771</v>
      </c>
      <c r="D96" s="2" t="s">
        <v>22</v>
      </c>
      <c r="E96" s="2" t="s">
        <v>20</v>
      </c>
      <c r="F96" s="2">
        <v>2</v>
      </c>
      <c r="G96" s="2">
        <v>387.82</v>
      </c>
      <c r="H96" s="2">
        <v>0.35</v>
      </c>
      <c r="I96" s="2" t="s">
        <v>18</v>
      </c>
      <c r="J96" s="2">
        <v>2</v>
      </c>
      <c r="K96" s="2">
        <v>3.4</v>
      </c>
      <c r="L96" s="2">
        <v>504.17</v>
      </c>
    </row>
    <row r="97" spans="1:12">
      <c r="A97" s="2">
        <v>10096</v>
      </c>
      <c r="B97" s="34">
        <v>44657</v>
      </c>
      <c r="C97" s="2">
        <v>1821</v>
      </c>
      <c r="D97" s="2" t="s">
        <v>15</v>
      </c>
      <c r="E97" s="2" t="s">
        <v>20</v>
      </c>
      <c r="F97" s="2">
        <v>1</v>
      </c>
      <c r="G97" s="2">
        <v>447.56</v>
      </c>
      <c r="H97" s="2">
        <v>0.29</v>
      </c>
      <c r="I97" s="2" t="s">
        <v>16</v>
      </c>
      <c r="J97" s="2">
        <v>4</v>
      </c>
      <c r="K97" s="2">
        <v>4.3</v>
      </c>
      <c r="L97" s="2">
        <v>317.77</v>
      </c>
    </row>
    <row r="98" spans="1:12">
      <c r="A98" s="2">
        <v>10097</v>
      </c>
      <c r="B98" s="34">
        <v>44658</v>
      </c>
      <c r="C98" s="2">
        <v>1476</v>
      </c>
      <c r="D98" s="2" t="s">
        <v>19</v>
      </c>
      <c r="E98" s="2" t="s">
        <v>21</v>
      </c>
      <c r="F98" s="2">
        <v>7</v>
      </c>
      <c r="G98" s="2">
        <v>120.91</v>
      </c>
      <c r="H98" s="2">
        <v>0.26</v>
      </c>
      <c r="I98" s="2" t="s">
        <v>18</v>
      </c>
      <c r="J98" s="2">
        <v>4</v>
      </c>
      <c r="K98" s="2">
        <v>4</v>
      </c>
      <c r="L98" s="2">
        <v>626.31</v>
      </c>
    </row>
    <row r="99" spans="1:12">
      <c r="A99" s="2">
        <v>10098</v>
      </c>
      <c r="B99" s="34">
        <v>44659</v>
      </c>
      <c r="C99" s="2">
        <v>1702</v>
      </c>
      <c r="D99" s="2" t="s">
        <v>19</v>
      </c>
      <c r="E99" s="2" t="s">
        <v>21</v>
      </c>
      <c r="F99" s="2">
        <v>6</v>
      </c>
      <c r="G99" s="2">
        <v>576.02</v>
      </c>
      <c r="H99" s="2">
        <v>0.07</v>
      </c>
      <c r="I99" s="2" t="s">
        <v>16</v>
      </c>
      <c r="J99" s="2">
        <v>8</v>
      </c>
      <c r="K99" s="2">
        <v>3.6</v>
      </c>
      <c r="L99" s="2">
        <v>3214.19</v>
      </c>
    </row>
    <row r="100" spans="1:12">
      <c r="A100" s="2">
        <v>10099</v>
      </c>
      <c r="B100" s="34">
        <v>44660</v>
      </c>
      <c r="C100" s="2">
        <v>1401</v>
      </c>
      <c r="D100" s="2" t="s">
        <v>22</v>
      </c>
      <c r="E100" s="2" t="s">
        <v>20</v>
      </c>
      <c r="F100" s="2">
        <v>3</v>
      </c>
      <c r="G100" s="2">
        <v>388.66</v>
      </c>
      <c r="H100" s="2">
        <v>0.31</v>
      </c>
      <c r="I100" s="2" t="s">
        <v>16</v>
      </c>
      <c r="J100" s="2">
        <v>2</v>
      </c>
      <c r="K100" s="2">
        <v>1.7</v>
      </c>
      <c r="L100" s="2">
        <v>804.53</v>
      </c>
    </row>
    <row r="101" spans="1:12">
      <c r="A101" s="2">
        <v>10100</v>
      </c>
      <c r="B101" s="34">
        <v>44661</v>
      </c>
      <c r="C101" s="2">
        <v>1729</v>
      </c>
      <c r="D101" s="2" t="s">
        <v>22</v>
      </c>
      <c r="E101" s="2" t="s">
        <v>17</v>
      </c>
      <c r="F101" s="2">
        <v>7</v>
      </c>
      <c r="G101" s="2">
        <v>510.52</v>
      </c>
      <c r="H101" s="2">
        <v>0.18</v>
      </c>
      <c r="I101" s="2" t="s">
        <v>18</v>
      </c>
      <c r="J101" s="2">
        <v>11</v>
      </c>
      <c r="K101" s="2">
        <v>1.4</v>
      </c>
      <c r="L101" s="2">
        <v>2930.38</v>
      </c>
    </row>
    <row r="102" spans="1:12">
      <c r="A102" s="2">
        <v>10101</v>
      </c>
      <c r="B102" s="34">
        <v>44662</v>
      </c>
      <c r="C102" s="2">
        <v>1555</v>
      </c>
      <c r="D102" s="2" t="s">
        <v>19</v>
      </c>
      <c r="E102" s="2" t="s">
        <v>21</v>
      </c>
      <c r="F102" s="2">
        <v>7</v>
      </c>
      <c r="G102" s="2">
        <v>330.94</v>
      </c>
      <c r="H102" s="2">
        <v>0.31</v>
      </c>
      <c r="I102" s="2" t="s">
        <v>16</v>
      </c>
      <c r="J102" s="2">
        <v>5</v>
      </c>
      <c r="K102" s="2">
        <v>1</v>
      </c>
      <c r="L102" s="2">
        <v>1598.44</v>
      </c>
    </row>
    <row r="103" spans="1:12">
      <c r="A103" s="2">
        <v>10102</v>
      </c>
      <c r="B103" s="34">
        <v>44663</v>
      </c>
      <c r="C103" s="2">
        <v>1161</v>
      </c>
      <c r="D103" s="2" t="s">
        <v>15</v>
      </c>
      <c r="E103" s="2" t="s">
        <v>21</v>
      </c>
      <c r="F103" s="2">
        <v>5</v>
      </c>
      <c r="G103" s="2">
        <v>257.35</v>
      </c>
      <c r="H103" s="2">
        <v>0.12</v>
      </c>
      <c r="I103" s="2" t="s">
        <v>16</v>
      </c>
      <c r="J103" s="2">
        <v>10</v>
      </c>
      <c r="K103" s="2">
        <v>1.4</v>
      </c>
      <c r="L103" s="2">
        <v>1132.34</v>
      </c>
    </row>
    <row r="104" spans="1:12">
      <c r="A104" s="2">
        <v>10103</v>
      </c>
      <c r="B104" s="34">
        <v>44664</v>
      </c>
      <c r="C104" s="2">
        <v>1201</v>
      </c>
      <c r="D104" s="2" t="s">
        <v>15</v>
      </c>
      <c r="E104" s="2" t="s">
        <v>20</v>
      </c>
      <c r="F104" s="2">
        <v>6</v>
      </c>
      <c r="G104" s="2">
        <v>586.65</v>
      </c>
      <c r="H104" s="2">
        <v>0.02</v>
      </c>
      <c r="I104" s="2" t="s">
        <v>18</v>
      </c>
      <c r="J104" s="2">
        <v>8</v>
      </c>
      <c r="K104" s="2">
        <v>4.1</v>
      </c>
      <c r="L104" s="2">
        <v>3449.5</v>
      </c>
    </row>
    <row r="105" spans="1:12">
      <c r="A105" s="2">
        <v>10104</v>
      </c>
      <c r="B105" s="34">
        <v>44665</v>
      </c>
      <c r="C105" s="2">
        <v>1957</v>
      </c>
      <c r="D105" s="2" t="s">
        <v>22</v>
      </c>
      <c r="E105" s="2" t="s">
        <v>20</v>
      </c>
      <c r="F105" s="2">
        <v>2</v>
      </c>
      <c r="G105" s="2">
        <v>355.54</v>
      </c>
      <c r="H105" s="2">
        <v>0.17</v>
      </c>
      <c r="I105" s="2" t="s">
        <v>18</v>
      </c>
      <c r="J105" s="2">
        <v>6</v>
      </c>
      <c r="K105" s="2">
        <v>4.6</v>
      </c>
      <c r="L105" s="2">
        <v>590.2</v>
      </c>
    </row>
    <row r="106" spans="1:12">
      <c r="A106" s="2">
        <v>10105</v>
      </c>
      <c r="B106" s="34">
        <v>44666</v>
      </c>
      <c r="C106" s="2">
        <v>1995</v>
      </c>
      <c r="D106" s="2" t="s">
        <v>19</v>
      </c>
      <c r="E106" s="2" t="s">
        <v>21</v>
      </c>
      <c r="F106" s="2">
        <v>6</v>
      </c>
      <c r="G106" s="2">
        <v>522.12</v>
      </c>
      <c r="H106" s="2">
        <v>0.09</v>
      </c>
      <c r="I106" s="2" t="s">
        <v>16</v>
      </c>
      <c r="J106" s="2">
        <v>4</v>
      </c>
      <c r="K106" s="2">
        <v>2</v>
      </c>
      <c r="L106" s="2">
        <v>2850.78</v>
      </c>
    </row>
    <row r="107" spans="1:12">
      <c r="A107" s="2">
        <v>10106</v>
      </c>
      <c r="B107" s="34">
        <v>44667</v>
      </c>
      <c r="C107" s="2">
        <v>1269</v>
      </c>
      <c r="D107" s="2" t="s">
        <v>12</v>
      </c>
      <c r="E107" s="2" t="s">
        <v>20</v>
      </c>
      <c r="F107" s="2">
        <v>6</v>
      </c>
      <c r="G107" s="2">
        <v>572.68</v>
      </c>
      <c r="H107" s="2">
        <v>0.25</v>
      </c>
      <c r="I107" s="2" t="s">
        <v>16</v>
      </c>
      <c r="J107" s="2">
        <v>5</v>
      </c>
      <c r="K107" s="2">
        <v>4.2</v>
      </c>
      <c r="L107" s="2">
        <v>2577.06</v>
      </c>
    </row>
    <row r="108" spans="1:12">
      <c r="A108" s="2">
        <v>10107</v>
      </c>
      <c r="B108" s="34">
        <v>44668</v>
      </c>
      <c r="C108" s="2">
        <v>1862</v>
      </c>
      <c r="D108" s="2" t="s">
        <v>19</v>
      </c>
      <c r="E108" s="2" t="s">
        <v>21</v>
      </c>
      <c r="F108" s="2">
        <v>1</v>
      </c>
      <c r="G108" s="2">
        <v>410.08</v>
      </c>
      <c r="H108" s="2">
        <v>0.33</v>
      </c>
      <c r="I108" s="2" t="s">
        <v>16</v>
      </c>
      <c r="J108" s="2">
        <v>2</v>
      </c>
      <c r="K108" s="2">
        <v>1.8</v>
      </c>
      <c r="L108" s="2">
        <v>274.75</v>
      </c>
    </row>
    <row r="109" spans="1:12">
      <c r="A109" s="2">
        <v>10108</v>
      </c>
      <c r="B109" s="34">
        <v>44669</v>
      </c>
      <c r="C109" s="2">
        <v>1815</v>
      </c>
      <c r="D109" s="2" t="s">
        <v>15</v>
      </c>
      <c r="E109" s="2" t="s">
        <v>17</v>
      </c>
      <c r="F109" s="2">
        <v>4</v>
      </c>
      <c r="G109" s="2">
        <v>336.13</v>
      </c>
      <c r="H109" s="2">
        <v>0.24</v>
      </c>
      <c r="I109" s="2" t="s">
        <v>16</v>
      </c>
      <c r="J109" s="2">
        <v>5</v>
      </c>
      <c r="K109" s="2">
        <v>2</v>
      </c>
      <c r="L109" s="2">
        <v>1021.84</v>
      </c>
    </row>
    <row r="110" spans="1:12">
      <c r="A110" s="2">
        <v>10109</v>
      </c>
      <c r="B110" s="34">
        <v>44670</v>
      </c>
      <c r="C110" s="2">
        <v>1270</v>
      </c>
      <c r="D110" s="2" t="s">
        <v>19</v>
      </c>
      <c r="E110" s="2" t="s">
        <v>17</v>
      </c>
      <c r="F110" s="2">
        <v>7</v>
      </c>
      <c r="G110" s="2">
        <v>17.05</v>
      </c>
      <c r="H110" s="2">
        <v>0.31</v>
      </c>
      <c r="I110" s="2" t="s">
        <v>18</v>
      </c>
      <c r="J110" s="2">
        <v>3</v>
      </c>
      <c r="K110" s="2">
        <v>1.9</v>
      </c>
      <c r="L110" s="2">
        <v>82.35</v>
      </c>
    </row>
    <row r="111" spans="1:12">
      <c r="A111" s="2">
        <v>10110</v>
      </c>
      <c r="B111" s="34">
        <v>44671</v>
      </c>
      <c r="C111" s="2">
        <v>1455</v>
      </c>
      <c r="D111" s="2" t="s">
        <v>19</v>
      </c>
      <c r="E111" s="2" t="s">
        <v>21</v>
      </c>
      <c r="F111" s="2">
        <v>2</v>
      </c>
      <c r="G111" s="2">
        <v>38.41</v>
      </c>
      <c r="H111" s="2">
        <v>0.16</v>
      </c>
      <c r="I111" s="2" t="s">
        <v>18</v>
      </c>
      <c r="J111" s="2">
        <v>3</v>
      </c>
      <c r="K111" s="2">
        <v>1.2</v>
      </c>
      <c r="L111" s="2">
        <v>64.53</v>
      </c>
    </row>
    <row r="112" spans="1:12">
      <c r="A112" s="2">
        <v>10111</v>
      </c>
      <c r="B112" s="34">
        <v>44672</v>
      </c>
      <c r="C112" s="2">
        <v>1461</v>
      </c>
      <c r="D112" s="2" t="s">
        <v>15</v>
      </c>
      <c r="E112" s="2" t="s">
        <v>21</v>
      </c>
      <c r="F112" s="2">
        <v>1</v>
      </c>
      <c r="G112" s="2">
        <v>132.5</v>
      </c>
      <c r="H112" s="2">
        <v>0.27</v>
      </c>
      <c r="I112" s="2" t="s">
        <v>18</v>
      </c>
      <c r="J112" s="2">
        <v>7</v>
      </c>
      <c r="K112" s="2">
        <v>1.8</v>
      </c>
      <c r="L112" s="2">
        <v>96.72</v>
      </c>
    </row>
    <row r="113" spans="1:12">
      <c r="A113" s="2">
        <v>10112</v>
      </c>
      <c r="B113" s="34">
        <v>44673</v>
      </c>
      <c r="C113" s="2">
        <v>1726</v>
      </c>
      <c r="D113" s="2" t="s">
        <v>19</v>
      </c>
      <c r="E113" s="2" t="s">
        <v>13</v>
      </c>
      <c r="F113" s="2">
        <v>7</v>
      </c>
      <c r="G113" s="2">
        <v>123.81</v>
      </c>
      <c r="H113" s="2">
        <v>0.3</v>
      </c>
      <c r="I113" s="2" t="s">
        <v>16</v>
      </c>
      <c r="J113" s="2">
        <v>3</v>
      </c>
      <c r="K113" s="2">
        <v>2.5</v>
      </c>
      <c r="L113" s="2">
        <v>606.67</v>
      </c>
    </row>
    <row r="114" spans="1:12">
      <c r="A114" s="2">
        <v>10113</v>
      </c>
      <c r="B114" s="34">
        <v>44674</v>
      </c>
      <c r="C114" s="2">
        <v>1251</v>
      </c>
      <c r="D114" s="2" t="s">
        <v>22</v>
      </c>
      <c r="E114" s="2" t="s">
        <v>13</v>
      </c>
      <c r="F114" s="2">
        <v>4</v>
      </c>
      <c r="G114" s="2">
        <v>164.03</v>
      </c>
      <c r="H114" s="2">
        <v>0.25</v>
      </c>
      <c r="I114" s="2" t="s">
        <v>16</v>
      </c>
      <c r="J114" s="2">
        <v>4</v>
      </c>
      <c r="K114" s="2">
        <v>2.6</v>
      </c>
      <c r="L114" s="2">
        <v>492.09</v>
      </c>
    </row>
    <row r="115" spans="1:12">
      <c r="A115" s="2">
        <v>10114</v>
      </c>
      <c r="B115" s="34">
        <v>44675</v>
      </c>
      <c r="C115" s="2">
        <v>1701</v>
      </c>
      <c r="D115" s="2" t="s">
        <v>19</v>
      </c>
      <c r="E115" s="2" t="s">
        <v>20</v>
      </c>
      <c r="F115" s="2">
        <v>1</v>
      </c>
      <c r="G115" s="2">
        <v>193.39</v>
      </c>
      <c r="H115" s="2">
        <v>0.18</v>
      </c>
      <c r="I115" s="2" t="s">
        <v>16</v>
      </c>
      <c r="J115" s="2">
        <v>7</v>
      </c>
      <c r="K115" s="2">
        <v>2.2</v>
      </c>
      <c r="L115" s="2">
        <v>158.58</v>
      </c>
    </row>
    <row r="116" spans="1:12">
      <c r="A116" s="2">
        <v>10115</v>
      </c>
      <c r="B116" s="34">
        <v>44676</v>
      </c>
      <c r="C116" s="2">
        <v>1295</v>
      </c>
      <c r="D116" s="2" t="s">
        <v>15</v>
      </c>
      <c r="E116" s="2" t="s">
        <v>20</v>
      </c>
      <c r="F116" s="2">
        <v>4</v>
      </c>
      <c r="G116" s="2">
        <v>225.64</v>
      </c>
      <c r="H116" s="2">
        <v>0.22</v>
      </c>
      <c r="I116" s="2" t="s">
        <v>16</v>
      </c>
      <c r="J116" s="2">
        <v>3</v>
      </c>
      <c r="K116" s="2">
        <v>3.1</v>
      </c>
      <c r="L116" s="2">
        <v>704</v>
      </c>
    </row>
    <row r="117" spans="1:12">
      <c r="A117" s="2">
        <v>10116</v>
      </c>
      <c r="B117" s="34">
        <v>44677</v>
      </c>
      <c r="C117" s="2">
        <v>1724</v>
      </c>
      <c r="D117" s="2" t="s">
        <v>19</v>
      </c>
      <c r="E117" s="2" t="s">
        <v>21</v>
      </c>
      <c r="F117" s="2">
        <v>4</v>
      </c>
      <c r="G117" s="2">
        <v>261.01</v>
      </c>
      <c r="H117" s="2">
        <v>0.25</v>
      </c>
      <c r="I117" s="2" t="s">
        <v>16</v>
      </c>
      <c r="J117" s="2">
        <v>10</v>
      </c>
      <c r="K117" s="2">
        <v>2.5</v>
      </c>
      <c r="L117" s="2">
        <v>783.03</v>
      </c>
    </row>
    <row r="118" spans="1:12">
      <c r="A118" s="2">
        <v>10117</v>
      </c>
      <c r="B118" s="34">
        <v>44678</v>
      </c>
      <c r="C118" s="2">
        <v>1719</v>
      </c>
      <c r="D118" s="2" t="s">
        <v>19</v>
      </c>
      <c r="E118" s="2" t="s">
        <v>21</v>
      </c>
      <c r="F118" s="2">
        <v>4</v>
      </c>
      <c r="G118" s="2">
        <v>72.84</v>
      </c>
      <c r="H118" s="2">
        <v>0.09</v>
      </c>
      <c r="I118" s="2" t="s">
        <v>16</v>
      </c>
      <c r="J118" s="2">
        <v>10</v>
      </c>
      <c r="K118" s="2">
        <v>4.9</v>
      </c>
      <c r="L118" s="2">
        <v>265.14</v>
      </c>
    </row>
    <row r="119" spans="1:12">
      <c r="A119" s="2">
        <v>10118</v>
      </c>
      <c r="B119" s="34">
        <v>44679</v>
      </c>
      <c r="C119" s="2">
        <v>1748</v>
      </c>
      <c r="D119" s="2" t="s">
        <v>19</v>
      </c>
      <c r="E119" s="2" t="s">
        <v>13</v>
      </c>
      <c r="F119" s="2">
        <v>1</v>
      </c>
      <c r="G119" s="2">
        <v>39.78</v>
      </c>
      <c r="H119" s="2">
        <v>0.28</v>
      </c>
      <c r="I119" s="2" t="s">
        <v>16</v>
      </c>
      <c r="J119" s="2">
        <v>2</v>
      </c>
      <c r="K119" s="2">
        <v>4.2</v>
      </c>
      <c r="L119" s="2">
        <v>28.64</v>
      </c>
    </row>
    <row r="120" spans="1:12">
      <c r="A120" s="2">
        <v>10119</v>
      </c>
      <c r="B120" s="34">
        <v>44680</v>
      </c>
      <c r="C120" s="2">
        <v>1337</v>
      </c>
      <c r="D120" s="2" t="s">
        <v>15</v>
      </c>
      <c r="E120" s="2" t="s">
        <v>13</v>
      </c>
      <c r="F120" s="2">
        <v>6</v>
      </c>
      <c r="G120" s="2">
        <v>409.26</v>
      </c>
      <c r="H120" s="2">
        <v>0.33</v>
      </c>
      <c r="I120" s="2" t="s">
        <v>18</v>
      </c>
      <c r="J120" s="2">
        <v>10</v>
      </c>
      <c r="K120" s="2">
        <v>4.7</v>
      </c>
      <c r="L120" s="2">
        <v>1645.23</v>
      </c>
    </row>
    <row r="121" spans="1:12">
      <c r="A121" s="2">
        <v>10120</v>
      </c>
      <c r="B121" s="34">
        <v>44681</v>
      </c>
      <c r="C121" s="2">
        <v>1878</v>
      </c>
      <c r="D121" s="2" t="s">
        <v>15</v>
      </c>
      <c r="E121" s="2" t="s">
        <v>21</v>
      </c>
      <c r="F121" s="2">
        <v>4</v>
      </c>
      <c r="G121" s="2">
        <v>329.34</v>
      </c>
      <c r="H121" s="2">
        <v>0.16</v>
      </c>
      <c r="I121" s="2" t="s">
        <v>18</v>
      </c>
      <c r="J121" s="2">
        <v>7</v>
      </c>
      <c r="K121" s="2">
        <v>3.2</v>
      </c>
      <c r="L121" s="2">
        <v>1106.58</v>
      </c>
    </row>
    <row r="122" spans="1:12">
      <c r="A122" s="2">
        <v>10121</v>
      </c>
      <c r="B122" s="34">
        <v>44682</v>
      </c>
      <c r="C122" s="2">
        <v>1052</v>
      </c>
      <c r="D122" s="2" t="s">
        <v>15</v>
      </c>
      <c r="E122" s="2" t="s">
        <v>17</v>
      </c>
      <c r="F122" s="2">
        <v>6</v>
      </c>
      <c r="G122" s="2">
        <v>274.82</v>
      </c>
      <c r="H122" s="2">
        <v>0.25</v>
      </c>
      <c r="I122" s="2" t="s">
        <v>18</v>
      </c>
      <c r="J122" s="2">
        <v>5</v>
      </c>
      <c r="K122" s="2">
        <v>3.7</v>
      </c>
      <c r="L122" s="2">
        <v>1236.69</v>
      </c>
    </row>
    <row r="123" spans="1:12">
      <c r="A123" s="2">
        <v>10122</v>
      </c>
      <c r="B123" s="34">
        <v>44683</v>
      </c>
      <c r="C123" s="2">
        <v>1791</v>
      </c>
      <c r="D123" s="2" t="s">
        <v>15</v>
      </c>
      <c r="E123" s="2" t="s">
        <v>17</v>
      </c>
      <c r="F123" s="2">
        <v>7</v>
      </c>
      <c r="G123" s="2">
        <v>386.15</v>
      </c>
      <c r="H123" s="2">
        <v>0.26</v>
      </c>
      <c r="I123" s="2" t="s">
        <v>16</v>
      </c>
      <c r="J123" s="2">
        <v>1</v>
      </c>
      <c r="K123" s="2">
        <v>1.7</v>
      </c>
      <c r="L123" s="2">
        <v>2000.26</v>
      </c>
    </row>
    <row r="124" spans="1:12">
      <c r="A124" s="2">
        <v>10123</v>
      </c>
      <c r="B124" s="34">
        <v>44684</v>
      </c>
      <c r="C124" s="2">
        <v>1921</v>
      </c>
      <c r="D124" s="2" t="s">
        <v>15</v>
      </c>
      <c r="E124" s="2" t="s">
        <v>20</v>
      </c>
      <c r="F124" s="2">
        <v>7</v>
      </c>
      <c r="G124" s="2">
        <v>499.19</v>
      </c>
      <c r="H124" s="2">
        <v>0.23</v>
      </c>
      <c r="I124" s="2" t="s">
        <v>14</v>
      </c>
      <c r="J124" s="2">
        <v>10</v>
      </c>
      <c r="K124" s="2">
        <v>4</v>
      </c>
      <c r="L124" s="2">
        <v>2690.63</v>
      </c>
    </row>
    <row r="125" spans="1:12">
      <c r="A125" s="2">
        <v>10124</v>
      </c>
      <c r="B125" s="34">
        <v>44685</v>
      </c>
      <c r="C125" s="2">
        <v>1216</v>
      </c>
      <c r="D125" s="2" t="s">
        <v>19</v>
      </c>
      <c r="E125" s="2" t="s">
        <v>21</v>
      </c>
      <c r="F125" s="2">
        <v>2</v>
      </c>
      <c r="G125" s="2">
        <v>265.2</v>
      </c>
      <c r="H125" s="2">
        <v>0.19</v>
      </c>
      <c r="I125" s="2" t="s">
        <v>14</v>
      </c>
      <c r="J125" s="2">
        <v>8</v>
      </c>
      <c r="K125" s="2">
        <v>1.9</v>
      </c>
      <c r="L125" s="2">
        <v>429.62</v>
      </c>
    </row>
    <row r="126" spans="1:12">
      <c r="A126" s="2">
        <v>10125</v>
      </c>
      <c r="B126" s="34">
        <v>44686</v>
      </c>
      <c r="C126" s="2">
        <v>1763</v>
      </c>
      <c r="D126" s="2" t="s">
        <v>15</v>
      </c>
      <c r="E126" s="2" t="s">
        <v>21</v>
      </c>
      <c r="F126" s="2">
        <v>5</v>
      </c>
      <c r="G126" s="2">
        <v>390.05</v>
      </c>
      <c r="H126" s="2">
        <v>0.31</v>
      </c>
      <c r="I126" s="2" t="s">
        <v>16</v>
      </c>
      <c r="J126" s="2">
        <v>3</v>
      </c>
      <c r="K126" s="2">
        <v>1.6</v>
      </c>
      <c r="L126" s="2">
        <v>1345.67</v>
      </c>
    </row>
    <row r="127" spans="1:12">
      <c r="A127" s="2">
        <v>10126</v>
      </c>
      <c r="B127" s="34">
        <v>44687</v>
      </c>
      <c r="C127" s="2">
        <v>1187</v>
      </c>
      <c r="D127" s="2" t="s">
        <v>12</v>
      </c>
      <c r="E127" s="2" t="s">
        <v>20</v>
      </c>
      <c r="F127" s="2">
        <v>6</v>
      </c>
      <c r="G127" s="2">
        <v>572.84</v>
      </c>
      <c r="H127" s="2">
        <v>0.16</v>
      </c>
      <c r="I127" s="2" t="s">
        <v>18</v>
      </c>
      <c r="J127" s="2">
        <v>11</v>
      </c>
      <c r="K127" s="2">
        <v>1.2</v>
      </c>
      <c r="L127" s="2">
        <v>2887.11</v>
      </c>
    </row>
    <row r="128" spans="1:12">
      <c r="A128" s="2">
        <v>10127</v>
      </c>
      <c r="B128" s="34">
        <v>44688</v>
      </c>
      <c r="C128" s="2">
        <v>1379</v>
      </c>
      <c r="D128" s="2" t="s">
        <v>15</v>
      </c>
      <c r="E128" s="2" t="s">
        <v>13</v>
      </c>
      <c r="F128" s="2">
        <v>7</v>
      </c>
      <c r="G128" s="2">
        <v>506.18</v>
      </c>
      <c r="H128" s="2">
        <v>0.02</v>
      </c>
      <c r="I128" s="2" t="s">
        <v>14</v>
      </c>
      <c r="J128" s="2">
        <v>7</v>
      </c>
      <c r="K128" s="2">
        <v>2.9</v>
      </c>
      <c r="L128" s="2">
        <v>3472.39</v>
      </c>
    </row>
    <row r="129" spans="1:12">
      <c r="A129" s="2">
        <v>10128</v>
      </c>
      <c r="B129" s="34">
        <v>44689</v>
      </c>
      <c r="C129" s="2">
        <v>1492</v>
      </c>
      <c r="D129" s="2" t="s">
        <v>22</v>
      </c>
      <c r="E129" s="2" t="s">
        <v>13</v>
      </c>
      <c r="F129" s="2">
        <v>5</v>
      </c>
      <c r="G129" s="2">
        <v>264.21</v>
      </c>
      <c r="H129" s="2">
        <v>0.3</v>
      </c>
      <c r="I129" s="2" t="s">
        <v>18</v>
      </c>
      <c r="J129" s="2">
        <v>6</v>
      </c>
      <c r="K129" s="2">
        <v>2.1</v>
      </c>
      <c r="L129" s="2">
        <v>924.73</v>
      </c>
    </row>
    <row r="130" spans="1:12">
      <c r="A130" s="2">
        <v>10129</v>
      </c>
      <c r="B130" s="34">
        <v>44690</v>
      </c>
      <c r="C130" s="2">
        <v>1040</v>
      </c>
      <c r="D130" s="2" t="s">
        <v>19</v>
      </c>
      <c r="E130" s="2" t="s">
        <v>17</v>
      </c>
      <c r="F130" s="2">
        <v>4</v>
      </c>
      <c r="G130" s="2">
        <v>392.16</v>
      </c>
      <c r="H130" s="2">
        <v>0.24</v>
      </c>
      <c r="I130" s="2" t="s">
        <v>16</v>
      </c>
      <c r="J130" s="2">
        <v>10</v>
      </c>
      <c r="K130" s="2">
        <v>4.9</v>
      </c>
      <c r="L130" s="2">
        <v>1192.17</v>
      </c>
    </row>
    <row r="131" spans="1:12">
      <c r="A131" s="2">
        <v>10130</v>
      </c>
      <c r="B131" s="34">
        <v>44691</v>
      </c>
      <c r="C131" s="2">
        <v>1156</v>
      </c>
      <c r="D131" s="2" t="s">
        <v>22</v>
      </c>
      <c r="E131" s="2" t="s">
        <v>21</v>
      </c>
      <c r="F131" s="2">
        <v>5</v>
      </c>
      <c r="G131" s="2">
        <v>118.59</v>
      </c>
      <c r="H131" s="2">
        <v>0.3</v>
      </c>
      <c r="I131" s="2" t="s">
        <v>18</v>
      </c>
      <c r="J131" s="2">
        <v>6</v>
      </c>
      <c r="K131" s="2">
        <v>2</v>
      </c>
      <c r="L131" s="2">
        <v>415.06</v>
      </c>
    </row>
    <row r="132" spans="1:12">
      <c r="A132" s="2">
        <v>10131</v>
      </c>
      <c r="B132" s="34">
        <v>44692</v>
      </c>
      <c r="C132" s="2">
        <v>1014</v>
      </c>
      <c r="D132" s="2" t="s">
        <v>22</v>
      </c>
      <c r="E132" s="2" t="s">
        <v>13</v>
      </c>
      <c r="F132" s="2">
        <v>5</v>
      </c>
      <c r="G132" s="2">
        <v>342.91</v>
      </c>
      <c r="H132" s="2">
        <v>0.05</v>
      </c>
      <c r="I132" s="2" t="s">
        <v>18</v>
      </c>
      <c r="J132" s="2">
        <v>8</v>
      </c>
      <c r="K132" s="2">
        <v>4.5</v>
      </c>
      <c r="L132" s="2">
        <v>1628.82</v>
      </c>
    </row>
    <row r="133" spans="1:12">
      <c r="A133" s="2">
        <v>10132</v>
      </c>
      <c r="B133" s="34">
        <v>44693</v>
      </c>
      <c r="C133" s="2">
        <v>1812</v>
      </c>
      <c r="D133" s="2" t="s">
        <v>15</v>
      </c>
      <c r="E133" s="2" t="s">
        <v>17</v>
      </c>
      <c r="F133" s="2">
        <v>4</v>
      </c>
      <c r="G133" s="2">
        <v>589.08</v>
      </c>
      <c r="H133" s="2">
        <v>0.01</v>
      </c>
      <c r="I133" s="2" t="s">
        <v>16</v>
      </c>
      <c r="J133" s="2">
        <v>4</v>
      </c>
      <c r="K133" s="2">
        <v>2.3</v>
      </c>
      <c r="L133" s="2">
        <v>2332.76</v>
      </c>
    </row>
    <row r="134" spans="1:12">
      <c r="A134" s="2">
        <v>10133</v>
      </c>
      <c r="B134" s="34">
        <v>44694</v>
      </c>
      <c r="C134" s="2">
        <v>1064</v>
      </c>
      <c r="D134" s="2" t="s">
        <v>12</v>
      </c>
      <c r="E134" s="2" t="s">
        <v>17</v>
      </c>
      <c r="F134" s="2">
        <v>6</v>
      </c>
      <c r="G134" s="2">
        <v>318.21</v>
      </c>
      <c r="H134" s="2">
        <v>0.33</v>
      </c>
      <c r="I134" s="2" t="s">
        <v>14</v>
      </c>
      <c r="J134" s="2">
        <v>4</v>
      </c>
      <c r="K134" s="2">
        <v>4</v>
      </c>
      <c r="L134" s="2">
        <v>1279.2</v>
      </c>
    </row>
    <row r="135" spans="1:12">
      <c r="A135" s="2">
        <v>10134</v>
      </c>
      <c r="B135" s="34">
        <v>44695</v>
      </c>
      <c r="C135" s="2">
        <v>1856</v>
      </c>
      <c r="D135" s="2" t="s">
        <v>19</v>
      </c>
      <c r="E135" s="2" t="s">
        <v>17</v>
      </c>
      <c r="F135" s="2">
        <v>4</v>
      </c>
      <c r="G135" s="2">
        <v>557.67</v>
      </c>
      <c r="H135" s="2">
        <v>0.05</v>
      </c>
      <c r="I135" s="2" t="s">
        <v>18</v>
      </c>
      <c r="J135" s="2">
        <v>3</v>
      </c>
      <c r="K135" s="2">
        <v>3.6</v>
      </c>
      <c r="L135" s="2">
        <v>2119.15</v>
      </c>
    </row>
    <row r="136" spans="1:12">
      <c r="A136" s="2">
        <v>10135</v>
      </c>
      <c r="B136" s="34">
        <v>44696</v>
      </c>
      <c r="C136" s="2">
        <v>1838</v>
      </c>
      <c r="D136" s="2" t="s">
        <v>19</v>
      </c>
      <c r="E136" s="2" t="s">
        <v>13</v>
      </c>
      <c r="F136" s="2">
        <v>2</v>
      </c>
      <c r="G136" s="2">
        <v>253.29</v>
      </c>
      <c r="H136" s="2">
        <v>0.28</v>
      </c>
      <c r="I136" s="2" t="s">
        <v>16</v>
      </c>
      <c r="J136" s="2">
        <v>1</v>
      </c>
      <c r="K136" s="2">
        <v>3.2</v>
      </c>
      <c r="L136" s="2">
        <v>364.74</v>
      </c>
    </row>
    <row r="137" spans="1:12">
      <c r="A137" s="2">
        <v>10136</v>
      </c>
      <c r="B137" s="34">
        <v>44697</v>
      </c>
      <c r="C137" s="2">
        <v>1520</v>
      </c>
      <c r="D137" s="2" t="s">
        <v>22</v>
      </c>
      <c r="E137" s="2" t="s">
        <v>13</v>
      </c>
      <c r="F137" s="2">
        <v>3</v>
      </c>
      <c r="G137" s="2">
        <v>599.32</v>
      </c>
      <c r="H137" s="2">
        <v>0.29</v>
      </c>
      <c r="I137" s="2" t="s">
        <v>18</v>
      </c>
      <c r="J137" s="2">
        <v>10</v>
      </c>
      <c r="K137" s="2">
        <v>2.7</v>
      </c>
      <c r="L137" s="2">
        <v>1276.55</v>
      </c>
    </row>
    <row r="138" spans="1:12">
      <c r="A138" s="2">
        <v>10137</v>
      </c>
      <c r="B138" s="34">
        <v>44698</v>
      </c>
      <c r="C138" s="2">
        <v>1343</v>
      </c>
      <c r="D138" s="2" t="s">
        <v>22</v>
      </c>
      <c r="E138" s="2" t="s">
        <v>21</v>
      </c>
      <c r="F138" s="2">
        <v>1</v>
      </c>
      <c r="G138" s="2">
        <v>353.84</v>
      </c>
      <c r="H138" s="2">
        <v>0.25</v>
      </c>
      <c r="I138" s="2" t="s">
        <v>18</v>
      </c>
      <c r="J138" s="2">
        <v>3</v>
      </c>
      <c r="K138" s="2">
        <v>3.7</v>
      </c>
      <c r="L138" s="2">
        <v>265.38</v>
      </c>
    </row>
    <row r="139" spans="1:12">
      <c r="A139" s="2">
        <v>10138</v>
      </c>
      <c r="B139" s="34">
        <v>44699</v>
      </c>
      <c r="C139" s="2">
        <v>1128</v>
      </c>
      <c r="D139" s="2" t="s">
        <v>19</v>
      </c>
      <c r="E139" s="2" t="s">
        <v>21</v>
      </c>
      <c r="F139" s="2">
        <v>4</v>
      </c>
      <c r="G139" s="2">
        <v>39.73</v>
      </c>
      <c r="H139" s="2">
        <v>0.05</v>
      </c>
      <c r="I139" s="2" t="s">
        <v>16</v>
      </c>
      <c r="J139" s="2">
        <v>1</v>
      </c>
      <c r="K139" s="2">
        <v>2.6</v>
      </c>
      <c r="L139" s="2">
        <v>150.97</v>
      </c>
    </row>
    <row r="140" spans="1:12">
      <c r="A140" s="2">
        <v>10139</v>
      </c>
      <c r="B140" s="34">
        <v>44700</v>
      </c>
      <c r="C140" s="2">
        <v>1647</v>
      </c>
      <c r="D140" s="2" t="s">
        <v>19</v>
      </c>
      <c r="E140" s="2" t="s">
        <v>17</v>
      </c>
      <c r="F140" s="2">
        <v>4</v>
      </c>
      <c r="G140" s="2">
        <v>358.25</v>
      </c>
      <c r="H140" s="2">
        <v>0.23</v>
      </c>
      <c r="I140" s="2" t="s">
        <v>16</v>
      </c>
      <c r="J140" s="2">
        <v>6</v>
      </c>
      <c r="K140" s="2">
        <v>3.2</v>
      </c>
      <c r="L140" s="2">
        <v>1103.41</v>
      </c>
    </row>
    <row r="141" spans="1:12">
      <c r="A141" s="2">
        <v>10140</v>
      </c>
      <c r="B141" s="34">
        <v>44701</v>
      </c>
      <c r="C141" s="2">
        <v>1471</v>
      </c>
      <c r="D141" s="2" t="s">
        <v>19</v>
      </c>
      <c r="E141" s="2" t="s">
        <v>17</v>
      </c>
      <c r="F141" s="2">
        <v>5</v>
      </c>
      <c r="G141" s="2">
        <v>175.63</v>
      </c>
      <c r="H141" s="2">
        <v>0.31</v>
      </c>
      <c r="I141" s="2" t="s">
        <v>14</v>
      </c>
      <c r="J141" s="2">
        <v>8</v>
      </c>
      <c r="K141" s="2">
        <v>3.4</v>
      </c>
      <c r="L141" s="2">
        <v>605.92</v>
      </c>
    </row>
    <row r="142" spans="1:12">
      <c r="A142" s="2">
        <v>10141</v>
      </c>
      <c r="B142" s="34">
        <v>44702</v>
      </c>
      <c r="C142" s="2">
        <v>1062</v>
      </c>
      <c r="D142" s="2" t="s">
        <v>19</v>
      </c>
      <c r="E142" s="2" t="s">
        <v>13</v>
      </c>
      <c r="F142" s="2">
        <v>2</v>
      </c>
      <c r="G142" s="2">
        <v>34</v>
      </c>
      <c r="H142" s="2">
        <v>0.15</v>
      </c>
      <c r="I142" s="2" t="s">
        <v>18</v>
      </c>
      <c r="J142" s="2">
        <v>3</v>
      </c>
      <c r="K142" s="2">
        <v>2.1</v>
      </c>
      <c r="L142" s="2">
        <v>57.8</v>
      </c>
    </row>
    <row r="143" spans="1:12">
      <c r="A143" s="2">
        <v>10142</v>
      </c>
      <c r="B143" s="34">
        <v>44703</v>
      </c>
      <c r="C143" s="2">
        <v>1138</v>
      </c>
      <c r="D143" s="2" t="s">
        <v>22</v>
      </c>
      <c r="E143" s="2" t="s">
        <v>13</v>
      </c>
      <c r="F143" s="2">
        <v>7</v>
      </c>
      <c r="G143" s="2">
        <v>495.2</v>
      </c>
      <c r="H143" s="2">
        <v>0.14</v>
      </c>
      <c r="I143" s="2" t="s">
        <v>16</v>
      </c>
      <c r="J143" s="2">
        <v>4</v>
      </c>
      <c r="K143" s="2">
        <v>2.4</v>
      </c>
      <c r="L143" s="2">
        <v>2981.1</v>
      </c>
    </row>
    <row r="144" spans="1:12">
      <c r="A144" s="2">
        <v>10143</v>
      </c>
      <c r="B144" s="34">
        <v>44704</v>
      </c>
      <c r="C144" s="2">
        <v>1498</v>
      </c>
      <c r="D144" s="2" t="s">
        <v>15</v>
      </c>
      <c r="E144" s="2" t="s">
        <v>21</v>
      </c>
      <c r="F144" s="2">
        <v>7</v>
      </c>
      <c r="G144" s="2">
        <v>176.3</v>
      </c>
      <c r="H144" s="2">
        <v>0.16</v>
      </c>
      <c r="I144" s="2" t="s">
        <v>16</v>
      </c>
      <c r="J144" s="2">
        <v>5</v>
      </c>
      <c r="K144" s="2">
        <v>1.1</v>
      </c>
      <c r="L144" s="2">
        <v>1036.64</v>
      </c>
    </row>
    <row r="145" spans="1:12">
      <c r="A145" s="2">
        <v>10144</v>
      </c>
      <c r="B145" s="34">
        <v>44705</v>
      </c>
      <c r="C145" s="2">
        <v>1592</v>
      </c>
      <c r="D145" s="2" t="s">
        <v>19</v>
      </c>
      <c r="E145" s="2" t="s">
        <v>21</v>
      </c>
      <c r="F145" s="2">
        <v>5</v>
      </c>
      <c r="G145" s="2">
        <v>480.98</v>
      </c>
      <c r="H145" s="2">
        <v>0.03</v>
      </c>
      <c r="I145" s="2" t="s">
        <v>18</v>
      </c>
      <c r="J145" s="2">
        <v>7</v>
      </c>
      <c r="K145" s="2">
        <v>4.4</v>
      </c>
      <c r="L145" s="2">
        <v>2332.75</v>
      </c>
    </row>
    <row r="146" spans="1:12">
      <c r="A146" s="2">
        <v>10145</v>
      </c>
      <c r="B146" s="34">
        <v>44706</v>
      </c>
      <c r="C146" s="2">
        <v>1391</v>
      </c>
      <c r="D146" s="2" t="s">
        <v>15</v>
      </c>
      <c r="E146" s="2" t="s">
        <v>20</v>
      </c>
      <c r="F146" s="2">
        <v>6</v>
      </c>
      <c r="G146" s="2">
        <v>183.61</v>
      </c>
      <c r="H146" s="2">
        <v>0.31</v>
      </c>
      <c r="I146" s="2" t="s">
        <v>18</v>
      </c>
      <c r="J146" s="2">
        <v>11</v>
      </c>
      <c r="K146" s="2">
        <v>4</v>
      </c>
      <c r="L146" s="2">
        <v>760.15</v>
      </c>
    </row>
    <row r="147" spans="1:12">
      <c r="A147" s="2">
        <v>10146</v>
      </c>
      <c r="B147" s="34">
        <v>44707</v>
      </c>
      <c r="C147" s="2">
        <v>1674</v>
      </c>
      <c r="D147" s="2" t="s">
        <v>19</v>
      </c>
      <c r="E147" s="2" t="s">
        <v>21</v>
      </c>
      <c r="F147" s="2">
        <v>4</v>
      </c>
      <c r="G147" s="2">
        <v>128.68</v>
      </c>
      <c r="H147" s="2">
        <v>0.3</v>
      </c>
      <c r="I147" s="2" t="s">
        <v>16</v>
      </c>
      <c r="J147" s="2">
        <v>6</v>
      </c>
      <c r="K147" s="2">
        <v>1.7</v>
      </c>
      <c r="L147" s="2">
        <v>360.3</v>
      </c>
    </row>
    <row r="148" spans="1:12">
      <c r="A148" s="2">
        <v>10147</v>
      </c>
      <c r="B148" s="34">
        <v>44708</v>
      </c>
      <c r="C148" s="2">
        <v>1418</v>
      </c>
      <c r="D148" s="2" t="s">
        <v>19</v>
      </c>
      <c r="E148" s="2" t="s">
        <v>13</v>
      </c>
      <c r="F148" s="2">
        <v>4</v>
      </c>
      <c r="G148" s="2">
        <v>584.75</v>
      </c>
      <c r="H148" s="2">
        <v>0.35</v>
      </c>
      <c r="I148" s="2" t="s">
        <v>18</v>
      </c>
      <c r="J148" s="2">
        <v>2</v>
      </c>
      <c r="K148" s="2">
        <v>2.4</v>
      </c>
      <c r="L148" s="2">
        <v>1520.35</v>
      </c>
    </row>
    <row r="149" spans="1:12">
      <c r="A149" s="2">
        <v>10148</v>
      </c>
      <c r="B149" s="34">
        <v>44709</v>
      </c>
      <c r="C149" s="2">
        <v>1288</v>
      </c>
      <c r="D149" s="2" t="s">
        <v>15</v>
      </c>
      <c r="E149" s="2" t="s">
        <v>17</v>
      </c>
      <c r="F149" s="2">
        <v>5</v>
      </c>
      <c r="G149" s="2">
        <v>226.56</v>
      </c>
      <c r="H149" s="2">
        <v>0.2</v>
      </c>
      <c r="I149" s="2" t="s">
        <v>16</v>
      </c>
      <c r="J149" s="2">
        <v>7</v>
      </c>
      <c r="K149" s="2">
        <v>2.7</v>
      </c>
      <c r="L149" s="2">
        <v>906.24</v>
      </c>
    </row>
    <row r="150" spans="1:12">
      <c r="A150" s="2">
        <v>10149</v>
      </c>
      <c r="B150" s="34">
        <v>44710</v>
      </c>
      <c r="C150" s="2">
        <v>1378</v>
      </c>
      <c r="D150" s="2" t="s">
        <v>12</v>
      </c>
      <c r="E150" s="2" t="s">
        <v>20</v>
      </c>
      <c r="F150" s="2">
        <v>4</v>
      </c>
      <c r="G150" s="2">
        <v>366.81</v>
      </c>
      <c r="H150" s="2">
        <v>0.26</v>
      </c>
      <c r="I150" s="2" t="s">
        <v>16</v>
      </c>
      <c r="J150" s="2">
        <v>8</v>
      </c>
      <c r="K150" s="2">
        <v>2.3</v>
      </c>
      <c r="L150" s="2">
        <v>1085.76</v>
      </c>
    </row>
    <row r="151" spans="1:12">
      <c r="A151" s="2">
        <v>10150</v>
      </c>
      <c r="B151" s="34">
        <v>44711</v>
      </c>
      <c r="C151" s="2">
        <v>1772</v>
      </c>
      <c r="D151" s="2" t="s">
        <v>22</v>
      </c>
      <c r="E151" s="2" t="s">
        <v>21</v>
      </c>
      <c r="F151" s="2">
        <v>6</v>
      </c>
      <c r="G151" s="2">
        <v>371.84</v>
      </c>
      <c r="H151" s="2">
        <v>0.07</v>
      </c>
      <c r="I151" s="2" t="s">
        <v>18</v>
      </c>
      <c r="J151" s="2">
        <v>1</v>
      </c>
      <c r="K151" s="2">
        <v>4.2</v>
      </c>
      <c r="L151" s="2">
        <v>2074.87</v>
      </c>
    </row>
    <row r="152" spans="1:12">
      <c r="A152" s="2">
        <v>10151</v>
      </c>
      <c r="B152" s="34">
        <v>44712</v>
      </c>
      <c r="C152" s="2">
        <v>1489</v>
      </c>
      <c r="D152" s="2" t="s">
        <v>19</v>
      </c>
      <c r="E152" s="2" t="s">
        <v>21</v>
      </c>
      <c r="F152" s="2">
        <v>3</v>
      </c>
      <c r="G152" s="2">
        <v>342.88</v>
      </c>
      <c r="H152" s="2">
        <v>0.23</v>
      </c>
      <c r="I152" s="2" t="s">
        <v>16</v>
      </c>
      <c r="J152" s="2">
        <v>6</v>
      </c>
      <c r="K152" s="2">
        <v>3.9</v>
      </c>
      <c r="L152" s="2">
        <v>792.05</v>
      </c>
    </row>
    <row r="153" spans="1:12">
      <c r="A153" s="2">
        <v>10152</v>
      </c>
      <c r="B153" s="34">
        <v>44713</v>
      </c>
      <c r="C153" s="2">
        <v>1230</v>
      </c>
      <c r="D153" s="2" t="s">
        <v>12</v>
      </c>
      <c r="E153" s="2" t="s">
        <v>13</v>
      </c>
      <c r="F153" s="2">
        <v>1</v>
      </c>
      <c r="G153" s="2">
        <v>550.1</v>
      </c>
      <c r="H153" s="2">
        <v>0.23</v>
      </c>
      <c r="I153" s="2" t="s">
        <v>14</v>
      </c>
      <c r="J153" s="2">
        <v>11</v>
      </c>
      <c r="K153" s="2">
        <v>4.1</v>
      </c>
      <c r="L153" s="2">
        <v>423.58</v>
      </c>
    </row>
    <row r="154" spans="1:12">
      <c r="A154" s="2">
        <v>10153</v>
      </c>
      <c r="B154" s="34">
        <v>44714</v>
      </c>
      <c r="C154" s="2">
        <v>1040</v>
      </c>
      <c r="D154" s="2" t="s">
        <v>22</v>
      </c>
      <c r="E154" s="2" t="s">
        <v>20</v>
      </c>
      <c r="F154" s="2">
        <v>1</v>
      </c>
      <c r="G154" s="2">
        <v>409.55</v>
      </c>
      <c r="H154" s="2">
        <v>0.32</v>
      </c>
      <c r="I154" s="2" t="s">
        <v>16</v>
      </c>
      <c r="J154" s="2">
        <v>9</v>
      </c>
      <c r="K154" s="2">
        <v>4.6</v>
      </c>
      <c r="L154" s="2">
        <v>278.49</v>
      </c>
    </row>
    <row r="155" spans="1:12">
      <c r="A155" s="2">
        <v>10154</v>
      </c>
      <c r="B155" s="34">
        <v>44715</v>
      </c>
      <c r="C155" s="2">
        <v>1027</v>
      </c>
      <c r="D155" s="2" t="s">
        <v>22</v>
      </c>
      <c r="E155" s="2" t="s">
        <v>21</v>
      </c>
      <c r="F155" s="2">
        <v>1</v>
      </c>
      <c r="G155" s="2">
        <v>251.18</v>
      </c>
      <c r="H155" s="2">
        <v>0.29</v>
      </c>
      <c r="I155" s="2" t="s">
        <v>18</v>
      </c>
      <c r="J155" s="2">
        <v>7</v>
      </c>
      <c r="K155" s="2">
        <v>3.4</v>
      </c>
      <c r="L155" s="2">
        <v>178.34</v>
      </c>
    </row>
    <row r="156" spans="1:12">
      <c r="A156" s="2">
        <v>10155</v>
      </c>
      <c r="B156" s="34">
        <v>44716</v>
      </c>
      <c r="C156" s="2">
        <v>1134</v>
      </c>
      <c r="D156" s="2" t="s">
        <v>15</v>
      </c>
      <c r="E156" s="2" t="s">
        <v>17</v>
      </c>
      <c r="F156" s="2">
        <v>3</v>
      </c>
      <c r="G156" s="2">
        <v>519.49</v>
      </c>
      <c r="H156" s="2">
        <v>0.33</v>
      </c>
      <c r="I156" s="2" t="s">
        <v>16</v>
      </c>
      <c r="J156" s="2">
        <v>5</v>
      </c>
      <c r="K156" s="2">
        <v>3.5</v>
      </c>
      <c r="L156" s="2">
        <v>1044.17</v>
      </c>
    </row>
    <row r="157" spans="1:12">
      <c r="A157" s="2">
        <v>10156</v>
      </c>
      <c r="B157" s="34">
        <v>44717</v>
      </c>
      <c r="C157" s="2">
        <v>1200</v>
      </c>
      <c r="D157" s="2" t="s">
        <v>15</v>
      </c>
      <c r="E157" s="2" t="s">
        <v>13</v>
      </c>
      <c r="F157" s="2">
        <v>4</v>
      </c>
      <c r="G157" s="2">
        <v>120.92</v>
      </c>
      <c r="H157" s="2">
        <v>0.3</v>
      </c>
      <c r="I157" s="2" t="s">
        <v>16</v>
      </c>
      <c r="J157" s="2">
        <v>10</v>
      </c>
      <c r="K157" s="2">
        <v>3.9</v>
      </c>
      <c r="L157" s="2">
        <v>338.58</v>
      </c>
    </row>
    <row r="158" spans="1:12">
      <c r="A158" s="2">
        <v>10157</v>
      </c>
      <c r="B158" s="34">
        <v>44718</v>
      </c>
      <c r="C158" s="2">
        <v>1839</v>
      </c>
      <c r="D158" s="2" t="s">
        <v>19</v>
      </c>
      <c r="E158" s="2" t="s">
        <v>20</v>
      </c>
      <c r="F158" s="2">
        <v>5</v>
      </c>
      <c r="G158" s="2">
        <v>333.38</v>
      </c>
      <c r="H158" s="2">
        <v>0.3</v>
      </c>
      <c r="I158" s="2" t="s">
        <v>18</v>
      </c>
      <c r="J158" s="2">
        <v>11</v>
      </c>
      <c r="K158" s="2">
        <v>3.7</v>
      </c>
      <c r="L158" s="2">
        <v>1166.83</v>
      </c>
    </row>
    <row r="159" spans="1:12">
      <c r="A159" s="2">
        <v>10158</v>
      </c>
      <c r="B159" s="34">
        <v>44719</v>
      </c>
      <c r="C159" s="2">
        <v>1779</v>
      </c>
      <c r="D159" s="2" t="s">
        <v>19</v>
      </c>
      <c r="E159" s="2" t="s">
        <v>21</v>
      </c>
      <c r="F159" s="2">
        <v>7</v>
      </c>
      <c r="G159" s="2">
        <v>571.07</v>
      </c>
      <c r="H159" s="2">
        <v>0.02</v>
      </c>
      <c r="I159" s="2" t="s">
        <v>18</v>
      </c>
      <c r="J159" s="2">
        <v>10</v>
      </c>
      <c r="K159" s="2">
        <v>4.5</v>
      </c>
      <c r="L159" s="2">
        <v>3917.54</v>
      </c>
    </row>
    <row r="160" spans="1:12">
      <c r="A160" s="2">
        <v>10159</v>
      </c>
      <c r="B160" s="34">
        <v>44720</v>
      </c>
      <c r="C160" s="2">
        <v>1929</v>
      </c>
      <c r="D160" s="2" t="s">
        <v>19</v>
      </c>
      <c r="E160" s="2" t="s">
        <v>21</v>
      </c>
      <c r="F160" s="2">
        <v>2</v>
      </c>
      <c r="G160" s="2">
        <v>380.86</v>
      </c>
      <c r="H160" s="2">
        <v>0.3</v>
      </c>
      <c r="I160" s="2" t="s">
        <v>18</v>
      </c>
      <c r="J160" s="2">
        <v>9</v>
      </c>
      <c r="K160" s="2">
        <v>4.1</v>
      </c>
      <c r="L160" s="2">
        <v>533.2</v>
      </c>
    </row>
    <row r="161" spans="1:12">
      <c r="A161" s="2">
        <v>10160</v>
      </c>
      <c r="B161" s="34">
        <v>44721</v>
      </c>
      <c r="C161" s="2">
        <v>1032</v>
      </c>
      <c r="D161" s="2" t="s">
        <v>19</v>
      </c>
      <c r="E161" s="2" t="s">
        <v>20</v>
      </c>
      <c r="F161" s="2">
        <v>4</v>
      </c>
      <c r="G161" s="2">
        <v>492.93</v>
      </c>
      <c r="H161" s="2">
        <v>0.21</v>
      </c>
      <c r="I161" s="2" t="s">
        <v>18</v>
      </c>
      <c r="J161" s="2">
        <v>2</v>
      </c>
      <c r="K161" s="2">
        <v>1.5</v>
      </c>
      <c r="L161" s="2">
        <v>1557.66</v>
      </c>
    </row>
    <row r="162" spans="1:12">
      <c r="A162" s="2">
        <v>10161</v>
      </c>
      <c r="B162" s="34">
        <v>44722</v>
      </c>
      <c r="C162" s="2">
        <v>1047</v>
      </c>
      <c r="D162" s="2" t="s">
        <v>15</v>
      </c>
      <c r="E162" s="2" t="s">
        <v>13</v>
      </c>
      <c r="F162" s="2">
        <v>3</v>
      </c>
      <c r="G162" s="2">
        <v>397.33</v>
      </c>
      <c r="H162" s="2">
        <v>0.13</v>
      </c>
      <c r="I162" s="2" t="s">
        <v>18</v>
      </c>
      <c r="J162" s="2">
        <v>7</v>
      </c>
      <c r="K162" s="2">
        <v>4.7</v>
      </c>
      <c r="L162" s="2">
        <v>1037.03</v>
      </c>
    </row>
    <row r="163" spans="1:12">
      <c r="A163" s="2">
        <v>10162</v>
      </c>
      <c r="B163" s="34">
        <v>44723</v>
      </c>
      <c r="C163" s="2">
        <v>1502</v>
      </c>
      <c r="D163" s="2" t="s">
        <v>22</v>
      </c>
      <c r="E163" s="2" t="s">
        <v>20</v>
      </c>
      <c r="F163" s="2">
        <v>6</v>
      </c>
      <c r="G163" s="2">
        <v>506.03</v>
      </c>
      <c r="H163" s="2">
        <v>0.02</v>
      </c>
      <c r="I163" s="2" t="s">
        <v>18</v>
      </c>
      <c r="J163" s="2">
        <v>9</v>
      </c>
      <c r="K163" s="2">
        <v>3.7</v>
      </c>
      <c r="L163" s="2">
        <v>2975.46</v>
      </c>
    </row>
    <row r="164" spans="1:12">
      <c r="A164" s="2">
        <v>10163</v>
      </c>
      <c r="B164" s="34">
        <v>44724</v>
      </c>
      <c r="C164" s="2">
        <v>1406</v>
      </c>
      <c r="D164" s="2" t="s">
        <v>15</v>
      </c>
      <c r="E164" s="2" t="s">
        <v>20</v>
      </c>
      <c r="F164" s="2">
        <v>3</v>
      </c>
      <c r="G164" s="2">
        <v>567.53</v>
      </c>
      <c r="H164" s="2">
        <v>0.24</v>
      </c>
      <c r="I164" s="2" t="s">
        <v>18</v>
      </c>
      <c r="J164" s="2">
        <v>2</v>
      </c>
      <c r="K164" s="2">
        <v>1.5</v>
      </c>
      <c r="L164" s="2">
        <v>1293.97</v>
      </c>
    </row>
    <row r="165" spans="1:12">
      <c r="A165" s="2">
        <v>10164</v>
      </c>
      <c r="B165" s="34">
        <v>44725</v>
      </c>
      <c r="C165" s="2">
        <v>1573</v>
      </c>
      <c r="D165" s="2" t="s">
        <v>19</v>
      </c>
      <c r="E165" s="2" t="s">
        <v>13</v>
      </c>
      <c r="F165" s="2">
        <v>7</v>
      </c>
      <c r="G165" s="2">
        <v>174.66</v>
      </c>
      <c r="H165" s="2">
        <v>0.11</v>
      </c>
      <c r="I165" s="2" t="s">
        <v>18</v>
      </c>
      <c r="J165" s="2">
        <v>11</v>
      </c>
      <c r="K165" s="2">
        <v>4.1</v>
      </c>
      <c r="L165" s="2">
        <v>1088.13</v>
      </c>
    </row>
    <row r="166" spans="1:12">
      <c r="A166" s="2">
        <v>10165</v>
      </c>
      <c r="B166" s="34">
        <v>44726</v>
      </c>
      <c r="C166" s="2">
        <v>1727</v>
      </c>
      <c r="D166" s="2" t="s">
        <v>12</v>
      </c>
      <c r="E166" s="2" t="s">
        <v>21</v>
      </c>
      <c r="F166" s="2">
        <v>1</v>
      </c>
      <c r="G166" s="2">
        <v>114.25</v>
      </c>
      <c r="H166" s="2">
        <v>0.16</v>
      </c>
      <c r="I166" s="2" t="s">
        <v>18</v>
      </c>
      <c r="J166" s="2">
        <v>10</v>
      </c>
      <c r="K166" s="2">
        <v>2.4</v>
      </c>
      <c r="L166" s="2">
        <v>95.97</v>
      </c>
    </row>
    <row r="167" spans="1:12">
      <c r="A167" s="2">
        <v>10166</v>
      </c>
      <c r="B167" s="34">
        <v>44727</v>
      </c>
      <c r="C167" s="2">
        <v>1804</v>
      </c>
      <c r="D167" s="2" t="s">
        <v>12</v>
      </c>
      <c r="E167" s="2" t="s">
        <v>17</v>
      </c>
      <c r="F167" s="2">
        <v>4</v>
      </c>
      <c r="G167" s="2">
        <v>298.13</v>
      </c>
      <c r="H167" s="2">
        <v>0.24</v>
      </c>
      <c r="I167" s="2" t="s">
        <v>14</v>
      </c>
      <c r="J167" s="2">
        <v>6</v>
      </c>
      <c r="K167" s="2">
        <v>4.2</v>
      </c>
      <c r="L167" s="2">
        <v>906.32</v>
      </c>
    </row>
    <row r="168" spans="1:12">
      <c r="A168" s="2">
        <v>10167</v>
      </c>
      <c r="B168" s="34">
        <v>44728</v>
      </c>
      <c r="C168" s="2">
        <v>1098</v>
      </c>
      <c r="D168" s="2" t="s">
        <v>22</v>
      </c>
      <c r="E168" s="2" t="s">
        <v>13</v>
      </c>
      <c r="F168" s="2">
        <v>7</v>
      </c>
      <c r="G168" s="2">
        <v>425.59</v>
      </c>
      <c r="H168" s="2">
        <v>0.32</v>
      </c>
      <c r="I168" s="2" t="s">
        <v>16</v>
      </c>
      <c r="J168" s="2">
        <v>9</v>
      </c>
      <c r="K168" s="2">
        <v>4.8</v>
      </c>
      <c r="L168" s="2">
        <v>2025.81</v>
      </c>
    </row>
    <row r="169" spans="1:12">
      <c r="A169" s="2">
        <v>10168</v>
      </c>
      <c r="B169" s="34">
        <v>44729</v>
      </c>
      <c r="C169" s="2">
        <v>1683</v>
      </c>
      <c r="D169" s="2" t="s">
        <v>12</v>
      </c>
      <c r="E169" s="2" t="s">
        <v>17</v>
      </c>
      <c r="F169" s="2">
        <v>1</v>
      </c>
      <c r="G169" s="2">
        <v>147.91</v>
      </c>
      <c r="H169" s="2">
        <v>0.29</v>
      </c>
      <c r="I169" s="2" t="s">
        <v>18</v>
      </c>
      <c r="J169" s="2">
        <v>3</v>
      </c>
      <c r="K169" s="2">
        <v>2</v>
      </c>
      <c r="L169" s="2">
        <v>105.02</v>
      </c>
    </row>
    <row r="170" spans="1:12">
      <c r="A170" s="2">
        <v>10169</v>
      </c>
      <c r="B170" s="34">
        <v>44730</v>
      </c>
      <c r="C170" s="2">
        <v>1871</v>
      </c>
      <c r="D170" s="2" t="s">
        <v>15</v>
      </c>
      <c r="E170" s="2" t="s">
        <v>21</v>
      </c>
      <c r="F170" s="2">
        <v>2</v>
      </c>
      <c r="G170" s="2">
        <v>17.4</v>
      </c>
      <c r="H170" s="2">
        <v>0.16</v>
      </c>
      <c r="I170" s="2" t="s">
        <v>16</v>
      </c>
      <c r="J170" s="2">
        <v>8</v>
      </c>
      <c r="K170" s="2">
        <v>4.4</v>
      </c>
      <c r="L170" s="2">
        <v>29.23</v>
      </c>
    </row>
    <row r="171" spans="1:12">
      <c r="A171" s="2">
        <v>10170</v>
      </c>
      <c r="B171" s="34">
        <v>44731</v>
      </c>
      <c r="C171" s="2">
        <v>1725</v>
      </c>
      <c r="D171" s="2" t="s">
        <v>12</v>
      </c>
      <c r="E171" s="2" t="s">
        <v>20</v>
      </c>
      <c r="F171" s="2">
        <v>6</v>
      </c>
      <c r="G171" s="2">
        <v>215.62</v>
      </c>
      <c r="H171" s="2">
        <v>0.14</v>
      </c>
      <c r="I171" s="2" t="s">
        <v>16</v>
      </c>
      <c r="J171" s="2">
        <v>5</v>
      </c>
      <c r="K171" s="2">
        <v>4.1</v>
      </c>
      <c r="L171" s="2">
        <v>1112.6</v>
      </c>
    </row>
    <row r="172" spans="1:12">
      <c r="A172" s="2">
        <v>10171</v>
      </c>
      <c r="B172" s="34">
        <v>44732</v>
      </c>
      <c r="C172" s="2">
        <v>1986</v>
      </c>
      <c r="D172" s="2" t="s">
        <v>19</v>
      </c>
      <c r="E172" s="2" t="s">
        <v>17</v>
      </c>
      <c r="F172" s="2">
        <v>1</v>
      </c>
      <c r="G172" s="2">
        <v>581.78</v>
      </c>
      <c r="H172" s="2">
        <v>0.08</v>
      </c>
      <c r="I172" s="2" t="s">
        <v>16</v>
      </c>
      <c r="J172" s="2">
        <v>7</v>
      </c>
      <c r="K172" s="2">
        <v>3.7</v>
      </c>
      <c r="L172" s="2">
        <v>535.24</v>
      </c>
    </row>
    <row r="173" spans="1:12">
      <c r="A173" s="2">
        <v>10172</v>
      </c>
      <c r="B173" s="34">
        <v>44733</v>
      </c>
      <c r="C173" s="2">
        <v>1546</v>
      </c>
      <c r="D173" s="2" t="s">
        <v>15</v>
      </c>
      <c r="E173" s="2" t="s">
        <v>21</v>
      </c>
      <c r="F173" s="2">
        <v>2</v>
      </c>
      <c r="G173" s="2">
        <v>421.56</v>
      </c>
      <c r="H173" s="2">
        <v>0.13</v>
      </c>
      <c r="I173" s="2" t="s">
        <v>14</v>
      </c>
      <c r="J173" s="2">
        <v>3</v>
      </c>
      <c r="K173" s="2">
        <v>2.5</v>
      </c>
      <c r="L173" s="2">
        <v>733.51</v>
      </c>
    </row>
    <row r="174" spans="1:12">
      <c r="A174" s="2">
        <v>10173</v>
      </c>
      <c r="B174" s="34">
        <v>44734</v>
      </c>
      <c r="C174" s="2">
        <v>1960</v>
      </c>
      <c r="D174" s="2" t="s">
        <v>19</v>
      </c>
      <c r="E174" s="2" t="s">
        <v>21</v>
      </c>
      <c r="F174" s="2">
        <v>3</v>
      </c>
      <c r="G174" s="2">
        <v>249.78</v>
      </c>
      <c r="H174" s="2">
        <v>0.04</v>
      </c>
      <c r="I174" s="2" t="s">
        <v>18</v>
      </c>
      <c r="J174" s="2">
        <v>8</v>
      </c>
      <c r="K174" s="2">
        <v>1.4</v>
      </c>
      <c r="L174" s="2">
        <v>719.37</v>
      </c>
    </row>
    <row r="175" spans="1:12">
      <c r="A175" s="2">
        <v>10174</v>
      </c>
      <c r="B175" s="34">
        <v>44735</v>
      </c>
      <c r="C175" s="2">
        <v>1738</v>
      </c>
      <c r="D175" s="2" t="s">
        <v>19</v>
      </c>
      <c r="E175" s="2" t="s">
        <v>20</v>
      </c>
      <c r="F175" s="2">
        <v>1</v>
      </c>
      <c r="G175" s="2">
        <v>127.66</v>
      </c>
      <c r="H175" s="2">
        <v>0.34</v>
      </c>
      <c r="I175" s="2" t="s">
        <v>18</v>
      </c>
      <c r="J175" s="2">
        <v>2</v>
      </c>
      <c r="K175" s="2">
        <v>2.9</v>
      </c>
      <c r="L175" s="2">
        <v>84.26</v>
      </c>
    </row>
    <row r="176" spans="1:12">
      <c r="A176" s="2">
        <v>10175</v>
      </c>
      <c r="B176" s="34">
        <v>44736</v>
      </c>
      <c r="C176" s="2">
        <v>1612</v>
      </c>
      <c r="D176" s="2" t="s">
        <v>19</v>
      </c>
      <c r="E176" s="2" t="s">
        <v>20</v>
      </c>
      <c r="F176" s="2">
        <v>1</v>
      </c>
      <c r="G176" s="2">
        <v>223.31</v>
      </c>
      <c r="H176" s="2">
        <v>0.2</v>
      </c>
      <c r="I176" s="2" t="s">
        <v>16</v>
      </c>
      <c r="J176" s="2">
        <v>8</v>
      </c>
      <c r="K176" s="2">
        <v>1.4</v>
      </c>
      <c r="L176" s="2">
        <v>178.65</v>
      </c>
    </row>
    <row r="177" spans="1:12">
      <c r="A177" s="2">
        <v>10176</v>
      </c>
      <c r="B177" s="34">
        <v>44737</v>
      </c>
      <c r="C177" s="2">
        <v>1942</v>
      </c>
      <c r="D177" s="2" t="s">
        <v>15</v>
      </c>
      <c r="E177" s="2" t="s">
        <v>21</v>
      </c>
      <c r="F177" s="2">
        <v>5</v>
      </c>
      <c r="G177" s="2">
        <v>114.36</v>
      </c>
      <c r="H177" s="2">
        <v>0.04</v>
      </c>
      <c r="I177" s="2" t="s">
        <v>18</v>
      </c>
      <c r="J177" s="2">
        <v>2</v>
      </c>
      <c r="K177" s="2">
        <v>3</v>
      </c>
      <c r="L177" s="2">
        <v>548.93</v>
      </c>
    </row>
    <row r="178" spans="1:12">
      <c r="A178" s="2">
        <v>10177</v>
      </c>
      <c r="B178" s="34">
        <v>44738</v>
      </c>
      <c r="C178" s="2">
        <v>1461</v>
      </c>
      <c r="D178" s="2" t="s">
        <v>22</v>
      </c>
      <c r="E178" s="2" t="s">
        <v>21</v>
      </c>
      <c r="F178" s="2">
        <v>6</v>
      </c>
      <c r="G178" s="2">
        <v>77.19</v>
      </c>
      <c r="H178" s="2">
        <v>0.12</v>
      </c>
      <c r="I178" s="2" t="s">
        <v>14</v>
      </c>
      <c r="J178" s="2">
        <v>7</v>
      </c>
      <c r="K178" s="2">
        <v>4.3</v>
      </c>
      <c r="L178" s="2">
        <v>407.56</v>
      </c>
    </row>
    <row r="179" spans="1:12">
      <c r="A179" s="2">
        <v>10178</v>
      </c>
      <c r="B179" s="34">
        <v>44739</v>
      </c>
      <c r="C179" s="2">
        <v>1642</v>
      </c>
      <c r="D179" s="2" t="s">
        <v>15</v>
      </c>
      <c r="E179" s="2" t="s">
        <v>17</v>
      </c>
      <c r="F179" s="2">
        <v>6</v>
      </c>
      <c r="G179" s="2">
        <v>545.44</v>
      </c>
      <c r="H179" s="2">
        <v>0.19</v>
      </c>
      <c r="I179" s="2" t="s">
        <v>16</v>
      </c>
      <c r="J179" s="2">
        <v>2</v>
      </c>
      <c r="K179" s="2">
        <v>5</v>
      </c>
      <c r="L179" s="2">
        <v>2650.84</v>
      </c>
    </row>
    <row r="180" spans="1:12">
      <c r="A180" s="2">
        <v>10179</v>
      </c>
      <c r="B180" s="34">
        <v>44740</v>
      </c>
      <c r="C180" s="2">
        <v>1768</v>
      </c>
      <c r="D180" s="2" t="s">
        <v>19</v>
      </c>
      <c r="E180" s="2" t="s">
        <v>21</v>
      </c>
      <c r="F180" s="2">
        <v>7</v>
      </c>
      <c r="G180" s="2">
        <v>598.63</v>
      </c>
      <c r="H180" s="2">
        <v>0.19</v>
      </c>
      <c r="I180" s="2" t="s">
        <v>16</v>
      </c>
      <c r="J180" s="2">
        <v>7</v>
      </c>
      <c r="K180" s="2">
        <v>1.8</v>
      </c>
      <c r="L180" s="2">
        <v>3394.23</v>
      </c>
    </row>
    <row r="181" spans="1:12">
      <c r="A181" s="2">
        <v>10180</v>
      </c>
      <c r="B181" s="34">
        <v>44741</v>
      </c>
      <c r="C181" s="2">
        <v>1004</v>
      </c>
      <c r="D181" s="2" t="s">
        <v>22</v>
      </c>
      <c r="E181" s="2" t="s">
        <v>21</v>
      </c>
      <c r="F181" s="2">
        <v>3</v>
      </c>
      <c r="G181" s="2">
        <v>111.01</v>
      </c>
      <c r="H181" s="2">
        <v>0.01</v>
      </c>
      <c r="I181" s="2" t="s">
        <v>16</v>
      </c>
      <c r="J181" s="2">
        <v>1</v>
      </c>
      <c r="K181" s="2">
        <v>1.8</v>
      </c>
      <c r="L181" s="2">
        <v>329.7</v>
      </c>
    </row>
    <row r="182" spans="1:12">
      <c r="A182" s="2">
        <v>10181</v>
      </c>
      <c r="B182" s="34">
        <v>44742</v>
      </c>
      <c r="C182" s="2">
        <v>1217</v>
      </c>
      <c r="D182" s="2" t="s">
        <v>15</v>
      </c>
      <c r="E182" s="2" t="s">
        <v>17</v>
      </c>
      <c r="F182" s="2">
        <v>5</v>
      </c>
      <c r="G182" s="2">
        <v>46.9</v>
      </c>
      <c r="H182" s="2">
        <v>0.33</v>
      </c>
      <c r="I182" s="2" t="s">
        <v>18</v>
      </c>
      <c r="J182" s="2">
        <v>6</v>
      </c>
      <c r="K182" s="2">
        <v>4.2</v>
      </c>
      <c r="L182" s="2">
        <v>157.11</v>
      </c>
    </row>
    <row r="183" spans="1:12">
      <c r="A183" s="2">
        <v>10182</v>
      </c>
      <c r="B183" s="34">
        <v>44743</v>
      </c>
      <c r="C183" s="2">
        <v>1502</v>
      </c>
      <c r="D183" s="2" t="s">
        <v>15</v>
      </c>
      <c r="E183" s="2" t="s">
        <v>13</v>
      </c>
      <c r="F183" s="2">
        <v>7</v>
      </c>
      <c r="G183" s="2">
        <v>207.89</v>
      </c>
      <c r="H183" s="2">
        <v>0.1</v>
      </c>
      <c r="I183" s="2" t="s">
        <v>18</v>
      </c>
      <c r="J183" s="2">
        <v>10</v>
      </c>
      <c r="K183" s="2">
        <v>2.9</v>
      </c>
      <c r="L183" s="2">
        <v>1309.71</v>
      </c>
    </row>
    <row r="184" spans="1:12">
      <c r="A184" s="2">
        <v>10183</v>
      </c>
      <c r="B184" s="34">
        <v>44744</v>
      </c>
      <c r="C184" s="2">
        <v>1766</v>
      </c>
      <c r="D184" s="2" t="s">
        <v>22</v>
      </c>
      <c r="E184" s="2" t="s">
        <v>17</v>
      </c>
      <c r="F184" s="2">
        <v>2</v>
      </c>
      <c r="G184" s="2">
        <v>285.07</v>
      </c>
      <c r="H184" s="2">
        <v>0.01</v>
      </c>
      <c r="I184" s="2" t="s">
        <v>18</v>
      </c>
      <c r="J184" s="2">
        <v>7</v>
      </c>
      <c r="K184" s="2">
        <v>4.7</v>
      </c>
      <c r="L184" s="2">
        <v>564.44</v>
      </c>
    </row>
    <row r="185" spans="1:12">
      <c r="A185" s="2">
        <v>10184</v>
      </c>
      <c r="B185" s="34">
        <v>44745</v>
      </c>
      <c r="C185" s="2">
        <v>1397</v>
      </c>
      <c r="D185" s="2" t="s">
        <v>19</v>
      </c>
      <c r="E185" s="2" t="s">
        <v>17</v>
      </c>
      <c r="F185" s="2">
        <v>7</v>
      </c>
      <c r="G185" s="2">
        <v>134.82</v>
      </c>
      <c r="H185" s="2">
        <v>0.03</v>
      </c>
      <c r="I185" s="2" t="s">
        <v>18</v>
      </c>
      <c r="J185" s="2">
        <v>4</v>
      </c>
      <c r="K185" s="2">
        <v>4.1</v>
      </c>
      <c r="L185" s="2">
        <v>915.43</v>
      </c>
    </row>
    <row r="186" spans="1:12">
      <c r="A186" s="2">
        <v>10185</v>
      </c>
      <c r="B186" s="34">
        <v>44746</v>
      </c>
      <c r="C186" s="2">
        <v>1870</v>
      </c>
      <c r="D186" s="2" t="s">
        <v>19</v>
      </c>
      <c r="E186" s="2" t="s">
        <v>20</v>
      </c>
      <c r="F186" s="2">
        <v>2</v>
      </c>
      <c r="G186" s="2">
        <v>191.33</v>
      </c>
      <c r="H186" s="2">
        <v>0.2</v>
      </c>
      <c r="I186" s="2" t="s">
        <v>16</v>
      </c>
      <c r="J186" s="2">
        <v>11</v>
      </c>
      <c r="K186" s="2">
        <v>3.9</v>
      </c>
      <c r="L186" s="2">
        <v>306.13</v>
      </c>
    </row>
    <row r="187" spans="1:12">
      <c r="A187" s="2">
        <v>10186</v>
      </c>
      <c r="B187" s="34">
        <v>44747</v>
      </c>
      <c r="C187" s="2">
        <v>1794</v>
      </c>
      <c r="D187" s="2" t="s">
        <v>12</v>
      </c>
      <c r="E187" s="2" t="s">
        <v>17</v>
      </c>
      <c r="F187" s="2">
        <v>3</v>
      </c>
      <c r="G187" s="2">
        <v>132.51</v>
      </c>
      <c r="H187" s="2">
        <v>0.05</v>
      </c>
      <c r="I187" s="2" t="s">
        <v>18</v>
      </c>
      <c r="J187" s="2">
        <v>11</v>
      </c>
      <c r="K187" s="2">
        <v>1.4</v>
      </c>
      <c r="L187" s="2">
        <v>377.65</v>
      </c>
    </row>
    <row r="188" spans="1:12">
      <c r="A188" s="2">
        <v>10187</v>
      </c>
      <c r="B188" s="34">
        <v>44748</v>
      </c>
      <c r="C188" s="2">
        <v>1392</v>
      </c>
      <c r="D188" s="2" t="s">
        <v>19</v>
      </c>
      <c r="E188" s="2" t="s">
        <v>21</v>
      </c>
      <c r="F188" s="2">
        <v>6</v>
      </c>
      <c r="G188" s="2">
        <v>467.94</v>
      </c>
      <c r="H188" s="2">
        <v>0.01</v>
      </c>
      <c r="I188" s="2" t="s">
        <v>16</v>
      </c>
      <c r="J188" s="2">
        <v>1</v>
      </c>
      <c r="K188" s="2">
        <v>1.1</v>
      </c>
      <c r="L188" s="2">
        <v>2779.56</v>
      </c>
    </row>
    <row r="189" spans="1:12">
      <c r="A189" s="2">
        <v>10188</v>
      </c>
      <c r="B189" s="34">
        <v>44749</v>
      </c>
      <c r="C189" s="2">
        <v>1206</v>
      </c>
      <c r="D189" s="2" t="s">
        <v>15</v>
      </c>
      <c r="E189" s="2" t="s">
        <v>21</v>
      </c>
      <c r="F189" s="2">
        <v>2</v>
      </c>
      <c r="G189" s="2">
        <v>431.86</v>
      </c>
      <c r="H189" s="2">
        <v>0.13</v>
      </c>
      <c r="I189" s="2" t="s">
        <v>16</v>
      </c>
      <c r="J189" s="2">
        <v>6</v>
      </c>
      <c r="K189" s="2">
        <v>2.3</v>
      </c>
      <c r="L189" s="2">
        <v>751.44</v>
      </c>
    </row>
    <row r="190" spans="1:12">
      <c r="A190" s="2">
        <v>10189</v>
      </c>
      <c r="B190" s="34">
        <v>44750</v>
      </c>
      <c r="C190" s="2">
        <v>1014</v>
      </c>
      <c r="D190" s="2" t="s">
        <v>12</v>
      </c>
      <c r="E190" s="2" t="s">
        <v>21</v>
      </c>
      <c r="F190" s="2">
        <v>3</v>
      </c>
      <c r="G190" s="2">
        <v>386.45</v>
      </c>
      <c r="H190" s="2">
        <v>0.22</v>
      </c>
      <c r="I190" s="2" t="s">
        <v>18</v>
      </c>
      <c r="J190" s="2">
        <v>4</v>
      </c>
      <c r="K190" s="2">
        <v>1.9</v>
      </c>
      <c r="L190" s="2">
        <v>904.29</v>
      </c>
    </row>
    <row r="191" spans="1:12">
      <c r="A191" s="2">
        <v>10190</v>
      </c>
      <c r="B191" s="34">
        <v>44751</v>
      </c>
      <c r="C191" s="2">
        <v>1857</v>
      </c>
      <c r="D191" s="2" t="s">
        <v>22</v>
      </c>
      <c r="E191" s="2" t="s">
        <v>13</v>
      </c>
      <c r="F191" s="2">
        <v>7</v>
      </c>
      <c r="G191" s="2">
        <v>241.52</v>
      </c>
      <c r="H191" s="2">
        <v>0.04</v>
      </c>
      <c r="I191" s="2" t="s">
        <v>14</v>
      </c>
      <c r="J191" s="2">
        <v>3</v>
      </c>
      <c r="K191" s="2">
        <v>3.8</v>
      </c>
      <c r="L191" s="2">
        <v>1623.01</v>
      </c>
    </row>
    <row r="192" spans="1:12">
      <c r="A192" s="2">
        <v>10191</v>
      </c>
      <c r="B192" s="34">
        <v>44752</v>
      </c>
      <c r="C192" s="2">
        <v>1553</v>
      </c>
      <c r="D192" s="2" t="s">
        <v>19</v>
      </c>
      <c r="E192" s="2" t="s">
        <v>21</v>
      </c>
      <c r="F192" s="2">
        <v>2</v>
      </c>
      <c r="G192" s="2">
        <v>546.79</v>
      </c>
      <c r="H192" s="2">
        <v>0.11</v>
      </c>
      <c r="I192" s="2" t="s">
        <v>18</v>
      </c>
      <c r="J192" s="2">
        <v>4</v>
      </c>
      <c r="K192" s="2">
        <v>2.8</v>
      </c>
      <c r="L192" s="2">
        <v>973.29</v>
      </c>
    </row>
    <row r="193" spans="1:12">
      <c r="A193" s="2">
        <v>10192</v>
      </c>
      <c r="B193" s="34">
        <v>44753</v>
      </c>
      <c r="C193" s="2">
        <v>1891</v>
      </c>
      <c r="D193" s="2" t="s">
        <v>19</v>
      </c>
      <c r="E193" s="2" t="s">
        <v>13</v>
      </c>
      <c r="F193" s="2">
        <v>4</v>
      </c>
      <c r="G193" s="2">
        <v>582.18</v>
      </c>
      <c r="H193" s="2">
        <v>0.15</v>
      </c>
      <c r="I193" s="2" t="s">
        <v>18</v>
      </c>
      <c r="J193" s="2">
        <v>6</v>
      </c>
      <c r="K193" s="2">
        <v>3.1</v>
      </c>
      <c r="L193" s="2">
        <v>1979.41</v>
      </c>
    </row>
    <row r="194" spans="1:12">
      <c r="A194" s="2">
        <v>10193</v>
      </c>
      <c r="B194" s="34">
        <v>44754</v>
      </c>
      <c r="C194" s="2">
        <v>1460</v>
      </c>
      <c r="D194" s="2" t="s">
        <v>19</v>
      </c>
      <c r="E194" s="2" t="s">
        <v>21</v>
      </c>
      <c r="F194" s="2">
        <v>1</v>
      </c>
      <c r="G194" s="2">
        <v>116.58</v>
      </c>
      <c r="H194" s="2">
        <v>0.06</v>
      </c>
      <c r="I194" s="2" t="s">
        <v>16</v>
      </c>
      <c r="J194" s="2">
        <v>5</v>
      </c>
      <c r="K194" s="2">
        <v>4.3</v>
      </c>
      <c r="L194" s="2">
        <v>109.59</v>
      </c>
    </row>
    <row r="195" spans="1:12">
      <c r="A195" s="2">
        <v>10194</v>
      </c>
      <c r="B195" s="34">
        <v>44755</v>
      </c>
      <c r="C195" s="2">
        <v>1690</v>
      </c>
      <c r="D195" s="2" t="s">
        <v>15</v>
      </c>
      <c r="E195" s="2" t="s">
        <v>17</v>
      </c>
      <c r="F195" s="2">
        <v>7</v>
      </c>
      <c r="G195" s="2">
        <v>145.46</v>
      </c>
      <c r="H195" s="2">
        <v>0.18</v>
      </c>
      <c r="I195" s="2" t="s">
        <v>16</v>
      </c>
      <c r="J195" s="2">
        <v>2</v>
      </c>
      <c r="K195" s="2">
        <v>2.9</v>
      </c>
      <c r="L195" s="2">
        <v>834.94</v>
      </c>
    </row>
    <row r="196" spans="1:12">
      <c r="A196" s="2">
        <v>10195</v>
      </c>
      <c r="B196" s="34">
        <v>44756</v>
      </c>
      <c r="C196" s="2">
        <v>1574</v>
      </c>
      <c r="D196" s="2" t="s">
        <v>15</v>
      </c>
      <c r="E196" s="2" t="s">
        <v>20</v>
      </c>
      <c r="F196" s="2">
        <v>6</v>
      </c>
      <c r="G196" s="2">
        <v>322.49</v>
      </c>
      <c r="H196" s="2">
        <v>0.03</v>
      </c>
      <c r="I196" s="2" t="s">
        <v>16</v>
      </c>
      <c r="J196" s="2">
        <v>2</v>
      </c>
      <c r="K196" s="2">
        <v>3.2</v>
      </c>
      <c r="L196" s="2">
        <v>1876.89</v>
      </c>
    </row>
    <row r="197" spans="1:12">
      <c r="A197" s="2">
        <v>10196</v>
      </c>
      <c r="B197" s="34">
        <v>44757</v>
      </c>
      <c r="C197" s="2">
        <v>1863</v>
      </c>
      <c r="D197" s="2" t="s">
        <v>19</v>
      </c>
      <c r="E197" s="2" t="s">
        <v>21</v>
      </c>
      <c r="F197" s="2">
        <v>7</v>
      </c>
      <c r="G197" s="2">
        <v>68.38</v>
      </c>
      <c r="H197" s="2">
        <v>0.02</v>
      </c>
      <c r="I197" s="2" t="s">
        <v>14</v>
      </c>
      <c r="J197" s="2">
        <v>3</v>
      </c>
      <c r="K197" s="2">
        <v>4.4</v>
      </c>
      <c r="L197" s="2">
        <v>469.09</v>
      </c>
    </row>
    <row r="198" spans="1:12">
      <c r="A198" s="2">
        <v>10197</v>
      </c>
      <c r="B198" s="34">
        <v>44758</v>
      </c>
      <c r="C198" s="2">
        <v>1742</v>
      </c>
      <c r="D198" s="2" t="s">
        <v>12</v>
      </c>
      <c r="E198" s="2" t="s">
        <v>13</v>
      </c>
      <c r="F198" s="2">
        <v>4</v>
      </c>
      <c r="G198" s="2">
        <v>270.32</v>
      </c>
      <c r="H198" s="2">
        <v>0.18</v>
      </c>
      <c r="I198" s="2" t="s">
        <v>14</v>
      </c>
      <c r="J198" s="2">
        <v>11</v>
      </c>
      <c r="K198" s="2">
        <v>2.7</v>
      </c>
      <c r="L198" s="2">
        <v>886.65</v>
      </c>
    </row>
    <row r="199" spans="1:12">
      <c r="A199" s="2">
        <v>10198</v>
      </c>
      <c r="B199" s="34">
        <v>44759</v>
      </c>
      <c r="C199" s="2">
        <v>1240</v>
      </c>
      <c r="D199" s="2" t="s">
        <v>15</v>
      </c>
      <c r="E199" s="2" t="s">
        <v>13</v>
      </c>
      <c r="F199" s="2">
        <v>3</v>
      </c>
      <c r="G199" s="2">
        <v>355.35</v>
      </c>
      <c r="H199" s="2">
        <v>0.09</v>
      </c>
      <c r="I199" s="2" t="s">
        <v>14</v>
      </c>
      <c r="J199" s="2">
        <v>6</v>
      </c>
      <c r="K199" s="2">
        <v>1.3</v>
      </c>
      <c r="L199" s="2">
        <v>970.11</v>
      </c>
    </row>
    <row r="200" spans="1:12">
      <c r="A200" s="2">
        <v>10199</v>
      </c>
      <c r="B200" s="34">
        <v>44760</v>
      </c>
      <c r="C200" s="2">
        <v>1563</v>
      </c>
      <c r="D200" s="2" t="s">
        <v>19</v>
      </c>
      <c r="E200" s="2" t="s">
        <v>20</v>
      </c>
      <c r="F200" s="2">
        <v>3</v>
      </c>
      <c r="G200" s="2">
        <v>320.41</v>
      </c>
      <c r="H200" s="2">
        <v>0.03</v>
      </c>
      <c r="I200" s="2" t="s">
        <v>16</v>
      </c>
      <c r="J200" s="2">
        <v>1</v>
      </c>
      <c r="K200" s="2">
        <v>3.1</v>
      </c>
      <c r="L200" s="2">
        <v>932.39</v>
      </c>
    </row>
    <row r="201" spans="1:12">
      <c r="A201" s="2">
        <v>10200</v>
      </c>
      <c r="B201" s="34">
        <v>44761</v>
      </c>
      <c r="C201" s="2">
        <v>1095</v>
      </c>
      <c r="D201" s="2" t="s">
        <v>15</v>
      </c>
      <c r="E201" s="2" t="s">
        <v>21</v>
      </c>
      <c r="F201" s="2">
        <v>7</v>
      </c>
      <c r="G201" s="2">
        <v>208.58</v>
      </c>
      <c r="H201" s="2">
        <v>0.15</v>
      </c>
      <c r="I201" s="2" t="s">
        <v>18</v>
      </c>
      <c r="J201" s="2">
        <v>11</v>
      </c>
      <c r="K201" s="2">
        <v>3.3</v>
      </c>
      <c r="L201" s="2">
        <v>1241.05</v>
      </c>
    </row>
    <row r="202" spans="1:12">
      <c r="A202" s="2">
        <v>10201</v>
      </c>
      <c r="B202" s="34">
        <v>44762</v>
      </c>
      <c r="C202" s="2">
        <v>1899</v>
      </c>
      <c r="D202" s="2" t="s">
        <v>22</v>
      </c>
      <c r="E202" s="2" t="s">
        <v>17</v>
      </c>
      <c r="F202" s="2">
        <v>4</v>
      </c>
      <c r="G202" s="2">
        <v>332.33</v>
      </c>
      <c r="H202" s="2">
        <v>0.32</v>
      </c>
      <c r="I202" s="2" t="s">
        <v>18</v>
      </c>
      <c r="J202" s="2">
        <v>7</v>
      </c>
      <c r="K202" s="2">
        <v>3</v>
      </c>
      <c r="L202" s="2">
        <v>903.94</v>
      </c>
    </row>
    <row r="203" spans="1:12">
      <c r="A203" s="2">
        <v>10202</v>
      </c>
      <c r="B203" s="34">
        <v>44763</v>
      </c>
      <c r="C203" s="2">
        <v>1733</v>
      </c>
      <c r="D203" s="2" t="s">
        <v>19</v>
      </c>
      <c r="E203" s="2" t="s">
        <v>21</v>
      </c>
      <c r="F203" s="2">
        <v>7</v>
      </c>
      <c r="G203" s="2">
        <v>575.9</v>
      </c>
      <c r="H203" s="2">
        <v>0.25</v>
      </c>
      <c r="I203" s="2" t="s">
        <v>18</v>
      </c>
      <c r="J203" s="2">
        <v>8</v>
      </c>
      <c r="K203" s="2">
        <v>2</v>
      </c>
      <c r="L203" s="2">
        <v>3023.48</v>
      </c>
    </row>
    <row r="204" spans="1:12">
      <c r="A204" s="2">
        <v>10203</v>
      </c>
      <c r="B204" s="34">
        <v>44764</v>
      </c>
      <c r="C204" s="2">
        <v>1484</v>
      </c>
      <c r="D204" s="2" t="s">
        <v>19</v>
      </c>
      <c r="E204" s="2" t="s">
        <v>21</v>
      </c>
      <c r="F204" s="2">
        <v>1</v>
      </c>
      <c r="G204" s="2">
        <v>135.52</v>
      </c>
      <c r="H204" s="2">
        <v>0.29</v>
      </c>
      <c r="I204" s="2" t="s">
        <v>18</v>
      </c>
      <c r="J204" s="2">
        <v>7</v>
      </c>
      <c r="K204" s="2">
        <v>1.9</v>
      </c>
      <c r="L204" s="2">
        <v>96.22</v>
      </c>
    </row>
    <row r="205" spans="1:12">
      <c r="A205" s="2">
        <v>10204</v>
      </c>
      <c r="B205" s="34">
        <v>44765</v>
      </c>
      <c r="C205" s="2">
        <v>1406</v>
      </c>
      <c r="D205" s="2" t="s">
        <v>22</v>
      </c>
      <c r="E205" s="2" t="s">
        <v>20</v>
      </c>
      <c r="F205" s="2">
        <v>1</v>
      </c>
      <c r="G205" s="2">
        <v>398.08</v>
      </c>
      <c r="H205" s="2">
        <v>0.31</v>
      </c>
      <c r="I205" s="2" t="s">
        <v>18</v>
      </c>
      <c r="J205" s="2">
        <v>11</v>
      </c>
      <c r="K205" s="2">
        <v>2.5</v>
      </c>
      <c r="L205" s="2">
        <v>274.68</v>
      </c>
    </row>
    <row r="206" spans="1:12">
      <c r="A206" s="2">
        <v>10205</v>
      </c>
      <c r="B206" s="34">
        <v>44766</v>
      </c>
      <c r="C206" s="2">
        <v>1230</v>
      </c>
      <c r="D206" s="2" t="s">
        <v>15</v>
      </c>
      <c r="E206" s="2" t="s">
        <v>21</v>
      </c>
      <c r="F206" s="2">
        <v>5</v>
      </c>
      <c r="G206" s="2">
        <v>40.39</v>
      </c>
      <c r="H206" s="2">
        <v>0.34</v>
      </c>
      <c r="I206" s="2" t="s">
        <v>16</v>
      </c>
      <c r="J206" s="2">
        <v>3</v>
      </c>
      <c r="K206" s="2">
        <v>1.7</v>
      </c>
      <c r="L206" s="2">
        <v>133.29</v>
      </c>
    </row>
    <row r="207" spans="1:12">
      <c r="A207" s="2">
        <v>10206</v>
      </c>
      <c r="B207" s="34">
        <v>44767</v>
      </c>
      <c r="C207" s="2">
        <v>1748</v>
      </c>
      <c r="D207" s="2" t="s">
        <v>15</v>
      </c>
      <c r="E207" s="2" t="s">
        <v>17</v>
      </c>
      <c r="F207" s="2">
        <v>2</v>
      </c>
      <c r="G207" s="2">
        <v>53.85</v>
      </c>
      <c r="H207" s="2">
        <v>0.27</v>
      </c>
      <c r="I207" s="2" t="s">
        <v>16</v>
      </c>
      <c r="J207" s="2">
        <v>6</v>
      </c>
      <c r="K207" s="2">
        <v>3.7</v>
      </c>
      <c r="L207" s="2">
        <v>78.62</v>
      </c>
    </row>
    <row r="208" spans="1:12">
      <c r="A208" s="2">
        <v>10207</v>
      </c>
      <c r="B208" s="34">
        <v>44768</v>
      </c>
      <c r="C208" s="2">
        <v>1654</v>
      </c>
      <c r="D208" s="2" t="s">
        <v>15</v>
      </c>
      <c r="E208" s="2" t="s">
        <v>13</v>
      </c>
      <c r="F208" s="2">
        <v>5</v>
      </c>
      <c r="G208" s="2">
        <v>337.82</v>
      </c>
      <c r="H208" s="2">
        <v>0.21</v>
      </c>
      <c r="I208" s="2" t="s">
        <v>16</v>
      </c>
      <c r="J208" s="2">
        <v>4</v>
      </c>
      <c r="K208" s="2">
        <v>3.5</v>
      </c>
      <c r="L208" s="2">
        <v>1334.39</v>
      </c>
    </row>
    <row r="209" spans="1:12">
      <c r="A209" s="2">
        <v>10208</v>
      </c>
      <c r="B209" s="34">
        <v>44769</v>
      </c>
      <c r="C209" s="2">
        <v>1170</v>
      </c>
      <c r="D209" s="2" t="s">
        <v>19</v>
      </c>
      <c r="E209" s="2" t="s">
        <v>20</v>
      </c>
      <c r="F209" s="2">
        <v>1</v>
      </c>
      <c r="G209" s="2">
        <v>76.39</v>
      </c>
      <c r="H209" s="2">
        <v>0.13</v>
      </c>
      <c r="I209" s="2" t="s">
        <v>16</v>
      </c>
      <c r="J209" s="2">
        <v>5</v>
      </c>
      <c r="K209" s="2">
        <v>3.5</v>
      </c>
      <c r="L209" s="2">
        <v>66.46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0"/>
  <sheetViews>
    <sheetView topLeftCell="D2" workbookViewId="0">
      <selection activeCell="A1" sqref="A1:R210"/>
    </sheetView>
  </sheetViews>
  <sheetFormatPr defaultColWidth="9" defaultRowHeight="14.4"/>
  <cols>
    <col min="1" max="1" width="10" customWidth="1"/>
    <col min="2" max="2" width="11.8888888888889" customWidth="1"/>
    <col min="3" max="3" width="12.8888888888889" customWidth="1"/>
    <col min="4" max="4" width="17" customWidth="1"/>
    <col min="6" max="6" width="9.66666666666667" customWidth="1"/>
    <col min="7" max="7" width="11.2222222222222" customWidth="1"/>
    <col min="8" max="8" width="9.22222222222222" customWidth="1"/>
    <col min="9" max="9" width="11.2222222222222" customWidth="1"/>
    <col min="10" max="10" width="14.1111111111111" customWidth="1"/>
    <col min="11" max="11" width="10.3333333333333" customWidth="1"/>
    <col min="12" max="12" width="9.11111111111111" customWidth="1"/>
    <col min="13" max="13" width="7.22222222222222" customWidth="1"/>
    <col min="14" max="14" width="9.22222222222222" customWidth="1"/>
    <col min="15" max="15" width="15.6666666666667" customWidth="1"/>
    <col min="16" max="16" width="12.5555555555556" customWidth="1"/>
    <col min="17" max="17" width="14.6666666666667" customWidth="1"/>
    <col min="18" max="18" width="14.1111111111111" customWidth="1"/>
  </cols>
  <sheetData>
    <row r="1" ht="27.6" spans="1:18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23</v>
      </c>
      <c r="N1" s="28" t="s">
        <v>24</v>
      </c>
      <c r="O1" s="28" t="s">
        <v>25</v>
      </c>
      <c r="P1" s="28" t="s">
        <v>26</v>
      </c>
      <c r="Q1" s="28" t="s">
        <v>27</v>
      </c>
      <c r="R1" s="28" t="s">
        <v>28</v>
      </c>
    </row>
    <row r="2" spans="1:18">
      <c r="A2" s="29">
        <v>10001</v>
      </c>
      <c r="B2" s="30">
        <v>44562</v>
      </c>
      <c r="C2" s="29">
        <v>1102</v>
      </c>
      <c r="D2" s="29" t="s">
        <v>12</v>
      </c>
      <c r="E2" s="29" t="s">
        <v>13</v>
      </c>
      <c r="F2" s="29">
        <v>7</v>
      </c>
      <c r="G2" s="31">
        <v>373.65</v>
      </c>
      <c r="H2" s="32">
        <v>0.28</v>
      </c>
      <c r="I2" s="31" t="s">
        <v>14</v>
      </c>
      <c r="J2" s="29">
        <v>10</v>
      </c>
      <c r="K2" s="33">
        <v>4.7</v>
      </c>
      <c r="L2" s="31">
        <v>1883.2</v>
      </c>
      <c r="M2" s="29" t="str">
        <f t="shared" ref="M2:M65" si="0">TEXT(B2,"mmm-yy")</f>
        <v>Jan-22</v>
      </c>
      <c r="N2" s="29" t="str">
        <f t="shared" ref="N2:N65" si="1">IF(ROUND(L2,2)=ROUND(F2*G2*(1-H2),2),"OK","Check")</f>
        <v>OK</v>
      </c>
      <c r="O2" s="29" t="str">
        <f t="shared" ref="O2:O65" si="2">IF(J2&lt;=3,"Fast",IF(J2&lt;=7,"Standard","Delayed"))</f>
        <v>Delayed</v>
      </c>
      <c r="P2" s="29" t="str">
        <f t="shared" ref="P2:P65" si="3">IF(K2&gt;=4.5,"Excellent",IF(K2&gt;=3.5,"Good",IF(K2&gt;=2.5,"Average","Low")))</f>
        <v>Excellent</v>
      </c>
      <c r="Q2" s="29" t="s">
        <v>29</v>
      </c>
      <c r="R2" s="29" t="s">
        <v>30</v>
      </c>
    </row>
    <row r="3" spans="1:18">
      <c r="A3" s="29">
        <v>10002</v>
      </c>
      <c r="B3" s="30">
        <v>44563</v>
      </c>
      <c r="C3" s="29">
        <v>1435</v>
      </c>
      <c r="D3" s="29" t="s">
        <v>15</v>
      </c>
      <c r="E3" s="29" t="s">
        <v>13</v>
      </c>
      <c r="F3" s="29">
        <v>7</v>
      </c>
      <c r="G3" s="31">
        <v>47.74</v>
      </c>
      <c r="H3" s="32">
        <v>0.09</v>
      </c>
      <c r="I3" s="31" t="s">
        <v>16</v>
      </c>
      <c r="J3" s="29">
        <v>6</v>
      </c>
      <c r="K3" s="33">
        <v>3.9</v>
      </c>
      <c r="L3" s="31">
        <v>304.1</v>
      </c>
      <c r="M3" s="29" t="str">
        <f t="shared" si="0"/>
        <v>Jan-22</v>
      </c>
      <c r="N3" s="29" t="str">
        <f t="shared" si="1"/>
        <v>OK</v>
      </c>
      <c r="O3" s="29" t="str">
        <f t="shared" si="2"/>
        <v>Standard</v>
      </c>
      <c r="P3" s="29" t="str">
        <f t="shared" si="3"/>
        <v>Good</v>
      </c>
      <c r="Q3" s="29" t="s">
        <v>31</v>
      </c>
      <c r="R3" s="29" t="s">
        <v>32</v>
      </c>
    </row>
    <row r="4" spans="1:18">
      <c r="A4" s="29">
        <v>10003</v>
      </c>
      <c r="B4" s="30">
        <v>44564</v>
      </c>
      <c r="C4" s="29">
        <v>1860</v>
      </c>
      <c r="D4" s="29" t="s">
        <v>12</v>
      </c>
      <c r="E4" s="29" t="s">
        <v>17</v>
      </c>
      <c r="F4" s="29">
        <v>3</v>
      </c>
      <c r="G4" s="31">
        <v>311.28</v>
      </c>
      <c r="H4" s="32">
        <v>0.31</v>
      </c>
      <c r="I4" s="31" t="s">
        <v>18</v>
      </c>
      <c r="J4" s="29">
        <v>6</v>
      </c>
      <c r="K4" s="33">
        <v>2.5</v>
      </c>
      <c r="L4" s="31">
        <v>644.35</v>
      </c>
      <c r="M4" s="29" t="str">
        <f t="shared" si="0"/>
        <v>Jan-22</v>
      </c>
      <c r="N4" s="29" t="str">
        <f t="shared" si="1"/>
        <v>OK</v>
      </c>
      <c r="O4" s="29" t="str">
        <f t="shared" si="2"/>
        <v>Standard</v>
      </c>
      <c r="P4" s="29" t="str">
        <f t="shared" si="3"/>
        <v>Average</v>
      </c>
      <c r="Q4" s="29" t="s">
        <v>33</v>
      </c>
      <c r="R4" s="29" t="s">
        <v>30</v>
      </c>
    </row>
    <row r="5" spans="1:18">
      <c r="A5" s="29">
        <v>10004</v>
      </c>
      <c r="B5" s="30">
        <v>44565</v>
      </c>
      <c r="C5" s="29">
        <v>1270</v>
      </c>
      <c r="D5" s="29" t="s">
        <v>19</v>
      </c>
      <c r="E5" s="29" t="s">
        <v>20</v>
      </c>
      <c r="F5" s="29">
        <v>5</v>
      </c>
      <c r="G5" s="31">
        <v>524.47</v>
      </c>
      <c r="H5" s="32">
        <v>0.02</v>
      </c>
      <c r="I5" s="31" t="s">
        <v>14</v>
      </c>
      <c r="J5" s="29">
        <v>6</v>
      </c>
      <c r="K5" s="33">
        <v>1.6</v>
      </c>
      <c r="L5" s="31">
        <v>2569.9</v>
      </c>
      <c r="M5" s="29" t="str">
        <f t="shared" si="0"/>
        <v>Jan-22</v>
      </c>
      <c r="N5" s="29" t="str">
        <f t="shared" si="1"/>
        <v>OK</v>
      </c>
      <c r="O5" s="29" t="str">
        <f t="shared" si="2"/>
        <v>Standard</v>
      </c>
      <c r="P5" s="29" t="str">
        <f t="shared" si="3"/>
        <v>Low</v>
      </c>
      <c r="Q5" s="29" t="s">
        <v>34</v>
      </c>
      <c r="R5" s="29" t="s">
        <v>35</v>
      </c>
    </row>
    <row r="6" spans="1:18">
      <c r="A6" s="29">
        <v>10005</v>
      </c>
      <c r="B6" s="30">
        <v>44566</v>
      </c>
      <c r="C6" s="29">
        <v>1106</v>
      </c>
      <c r="D6" s="29" t="s">
        <v>15</v>
      </c>
      <c r="E6" s="29" t="s">
        <v>20</v>
      </c>
      <c r="F6" s="29">
        <v>5</v>
      </c>
      <c r="G6" s="31">
        <v>139.87</v>
      </c>
      <c r="H6" s="32">
        <v>0.33</v>
      </c>
      <c r="I6" s="31" t="s">
        <v>14</v>
      </c>
      <c r="J6" s="29">
        <v>4</v>
      </c>
      <c r="K6" s="33">
        <v>4.9</v>
      </c>
      <c r="L6" s="31">
        <v>468.56</v>
      </c>
      <c r="M6" s="29" t="str">
        <f t="shared" si="0"/>
        <v>Jan-22</v>
      </c>
      <c r="N6" s="29" t="str">
        <f t="shared" si="1"/>
        <v>OK</v>
      </c>
      <c r="O6" s="29" t="str">
        <f t="shared" si="2"/>
        <v>Standard</v>
      </c>
      <c r="P6" s="29" t="str">
        <f t="shared" si="3"/>
        <v>Excellent</v>
      </c>
      <c r="Q6" s="29" t="s">
        <v>36</v>
      </c>
      <c r="R6" s="29" t="s">
        <v>32</v>
      </c>
    </row>
    <row r="7" spans="1:18">
      <c r="A7" s="29">
        <v>10006</v>
      </c>
      <c r="B7" s="30">
        <v>44567</v>
      </c>
      <c r="C7" s="29">
        <v>1071</v>
      </c>
      <c r="D7" s="29" t="s">
        <v>19</v>
      </c>
      <c r="E7" s="29" t="s">
        <v>20</v>
      </c>
      <c r="F7" s="29">
        <v>2</v>
      </c>
      <c r="G7" s="31">
        <v>264.44</v>
      </c>
      <c r="H7" s="32">
        <v>0.2</v>
      </c>
      <c r="I7" s="31" t="s">
        <v>16</v>
      </c>
      <c r="J7" s="29">
        <v>3</v>
      </c>
      <c r="K7" s="33">
        <v>3.3</v>
      </c>
      <c r="L7" s="31">
        <v>423.1</v>
      </c>
      <c r="M7" s="29" t="str">
        <f t="shared" si="0"/>
        <v>Jan-22</v>
      </c>
      <c r="N7" s="29" t="str">
        <f t="shared" si="1"/>
        <v>OK</v>
      </c>
      <c r="O7" s="29" t="str">
        <f t="shared" si="2"/>
        <v>Fast</v>
      </c>
      <c r="P7" s="29" t="str">
        <f t="shared" si="3"/>
        <v>Average</v>
      </c>
      <c r="Q7" s="29" t="s">
        <v>37</v>
      </c>
      <c r="R7" s="29" t="s">
        <v>35</v>
      </c>
    </row>
    <row r="8" spans="1:18">
      <c r="A8" s="29">
        <v>10007</v>
      </c>
      <c r="B8" s="30">
        <v>44568</v>
      </c>
      <c r="C8" s="29">
        <v>1700</v>
      </c>
      <c r="D8" s="29" t="s">
        <v>15</v>
      </c>
      <c r="E8" s="29" t="s">
        <v>13</v>
      </c>
      <c r="F8" s="29">
        <v>6</v>
      </c>
      <c r="G8" s="31">
        <v>564.6</v>
      </c>
      <c r="H8" s="32">
        <v>0.23</v>
      </c>
      <c r="I8" s="31" t="s">
        <v>16</v>
      </c>
      <c r="J8" s="29">
        <v>1</v>
      </c>
      <c r="K8" s="33">
        <v>1.8</v>
      </c>
      <c r="L8" s="31">
        <v>2608.45</v>
      </c>
      <c r="M8" s="29" t="str">
        <f t="shared" si="0"/>
        <v>Jan-22</v>
      </c>
      <c r="N8" s="29" t="str">
        <f t="shared" si="1"/>
        <v>OK</v>
      </c>
      <c r="O8" s="29" t="str">
        <f t="shared" si="2"/>
        <v>Fast</v>
      </c>
      <c r="P8" s="29" t="str">
        <f t="shared" si="3"/>
        <v>Low</v>
      </c>
      <c r="Q8" s="29" t="s">
        <v>38</v>
      </c>
      <c r="R8" s="29" t="s">
        <v>32</v>
      </c>
    </row>
    <row r="9" spans="1:18">
      <c r="A9" s="29">
        <v>10008</v>
      </c>
      <c r="B9" s="30">
        <v>44569</v>
      </c>
      <c r="C9" s="29">
        <v>1020</v>
      </c>
      <c r="D9" s="29" t="s">
        <v>12</v>
      </c>
      <c r="E9" s="29" t="s">
        <v>21</v>
      </c>
      <c r="F9" s="29">
        <v>6</v>
      </c>
      <c r="G9" s="31">
        <v>265.71</v>
      </c>
      <c r="H9" s="32">
        <v>0.13</v>
      </c>
      <c r="I9" s="31" t="s">
        <v>16</v>
      </c>
      <c r="J9" s="29">
        <v>2</v>
      </c>
      <c r="K9" s="33">
        <v>3.7</v>
      </c>
      <c r="L9" s="31">
        <v>1387.01</v>
      </c>
      <c r="M9" s="29" t="str">
        <f t="shared" si="0"/>
        <v>Jan-22</v>
      </c>
      <c r="N9" s="29" t="str">
        <f t="shared" si="1"/>
        <v>OK</v>
      </c>
      <c r="O9" s="29" t="str">
        <f t="shared" si="2"/>
        <v>Fast</v>
      </c>
      <c r="P9" s="29" t="str">
        <f t="shared" si="3"/>
        <v>Good</v>
      </c>
      <c r="Q9" s="29" t="s">
        <v>39</v>
      </c>
      <c r="R9" s="29" t="s">
        <v>30</v>
      </c>
    </row>
    <row r="10" spans="1:18">
      <c r="A10" s="29">
        <v>10009</v>
      </c>
      <c r="B10" s="30">
        <v>44570</v>
      </c>
      <c r="C10" s="29">
        <v>1614</v>
      </c>
      <c r="D10" s="29" t="s">
        <v>15</v>
      </c>
      <c r="E10" s="29" t="s">
        <v>13</v>
      </c>
      <c r="F10" s="29">
        <v>6</v>
      </c>
      <c r="G10" s="31">
        <v>224.65</v>
      </c>
      <c r="H10" s="32">
        <v>0.27</v>
      </c>
      <c r="I10" s="31" t="s">
        <v>16</v>
      </c>
      <c r="J10" s="29">
        <v>2</v>
      </c>
      <c r="K10" s="33">
        <v>1.4</v>
      </c>
      <c r="L10" s="31">
        <v>983.97</v>
      </c>
      <c r="M10" s="29" t="str">
        <f t="shared" si="0"/>
        <v>Jan-22</v>
      </c>
      <c r="N10" s="29" t="str">
        <f t="shared" si="1"/>
        <v>OK</v>
      </c>
      <c r="O10" s="29" t="str">
        <f t="shared" si="2"/>
        <v>Fast</v>
      </c>
      <c r="P10" s="29" t="str">
        <f t="shared" si="3"/>
        <v>Low</v>
      </c>
      <c r="Q10" s="29" t="s">
        <v>40</v>
      </c>
      <c r="R10" s="29" t="s">
        <v>32</v>
      </c>
    </row>
    <row r="11" spans="1:18">
      <c r="A11" s="29">
        <v>10010</v>
      </c>
      <c r="B11" s="30">
        <v>44571</v>
      </c>
      <c r="C11" s="29">
        <v>1121</v>
      </c>
      <c r="D11" s="29" t="s">
        <v>15</v>
      </c>
      <c r="E11" s="29" t="s">
        <v>20</v>
      </c>
      <c r="F11" s="29">
        <v>4</v>
      </c>
      <c r="G11" s="31">
        <v>272.71</v>
      </c>
      <c r="H11" s="32">
        <v>0.06</v>
      </c>
      <c r="I11" s="31" t="s">
        <v>16</v>
      </c>
      <c r="J11" s="29">
        <v>10</v>
      </c>
      <c r="K11" s="33">
        <v>4.5</v>
      </c>
      <c r="L11" s="31">
        <v>1025.39</v>
      </c>
      <c r="M11" s="29" t="str">
        <f t="shared" si="0"/>
        <v>Jan-22</v>
      </c>
      <c r="N11" s="29" t="str">
        <f t="shared" si="1"/>
        <v>OK</v>
      </c>
      <c r="O11" s="29" t="str">
        <f t="shared" si="2"/>
        <v>Delayed</v>
      </c>
      <c r="P11" s="29" t="str">
        <f t="shared" si="3"/>
        <v>Excellent</v>
      </c>
      <c r="Q11" s="29" t="s">
        <v>41</v>
      </c>
      <c r="R11" s="29" t="s">
        <v>32</v>
      </c>
    </row>
    <row r="12" spans="1:18">
      <c r="A12" s="29">
        <v>10011</v>
      </c>
      <c r="B12" s="30">
        <v>44572</v>
      </c>
      <c r="C12" s="29">
        <v>1466</v>
      </c>
      <c r="D12" s="29" t="s">
        <v>15</v>
      </c>
      <c r="E12" s="29" t="s">
        <v>20</v>
      </c>
      <c r="F12" s="29">
        <v>6</v>
      </c>
      <c r="G12" s="31">
        <v>318.88</v>
      </c>
      <c r="H12" s="32">
        <v>0.02</v>
      </c>
      <c r="I12" s="31" t="s">
        <v>18</v>
      </c>
      <c r="J12" s="29">
        <v>7</v>
      </c>
      <c r="K12" s="33">
        <v>1.4</v>
      </c>
      <c r="L12" s="31">
        <v>1875.01</v>
      </c>
      <c r="M12" s="29" t="str">
        <f t="shared" si="0"/>
        <v>Jan-22</v>
      </c>
      <c r="N12" s="29" t="str">
        <f t="shared" si="1"/>
        <v>OK</v>
      </c>
      <c r="O12" s="29" t="str">
        <f t="shared" si="2"/>
        <v>Standard</v>
      </c>
      <c r="P12" s="29" t="str">
        <f t="shared" si="3"/>
        <v>Low</v>
      </c>
      <c r="Q12" s="29" t="s">
        <v>42</v>
      </c>
      <c r="R12" s="29" t="s">
        <v>32</v>
      </c>
    </row>
    <row r="13" spans="1:18">
      <c r="A13" s="29">
        <v>10012</v>
      </c>
      <c r="B13" s="30">
        <v>44573</v>
      </c>
      <c r="C13" s="29">
        <v>1214</v>
      </c>
      <c r="D13" s="29" t="s">
        <v>19</v>
      </c>
      <c r="E13" s="29" t="s">
        <v>20</v>
      </c>
      <c r="F13" s="29">
        <v>3</v>
      </c>
      <c r="G13" s="31">
        <v>384.71</v>
      </c>
      <c r="H13" s="32">
        <v>0.14</v>
      </c>
      <c r="I13" s="31" t="s">
        <v>18</v>
      </c>
      <c r="J13" s="29">
        <v>11</v>
      </c>
      <c r="K13" s="33">
        <v>1.9</v>
      </c>
      <c r="L13" s="31">
        <v>992.55</v>
      </c>
      <c r="M13" s="29" t="str">
        <f t="shared" si="0"/>
        <v>Jan-22</v>
      </c>
      <c r="N13" s="29" t="str">
        <f t="shared" si="1"/>
        <v>OK</v>
      </c>
      <c r="O13" s="29" t="str">
        <f t="shared" si="2"/>
        <v>Delayed</v>
      </c>
      <c r="P13" s="29" t="str">
        <f t="shared" si="3"/>
        <v>Low</v>
      </c>
      <c r="Q13" s="29" t="s">
        <v>43</v>
      </c>
      <c r="R13" s="29" t="s">
        <v>35</v>
      </c>
    </row>
    <row r="14" spans="1:18">
      <c r="A14" s="29">
        <v>10013</v>
      </c>
      <c r="B14" s="30">
        <v>44574</v>
      </c>
      <c r="C14" s="29">
        <v>1330</v>
      </c>
      <c r="D14" s="29" t="s">
        <v>12</v>
      </c>
      <c r="E14" s="29" t="s">
        <v>13</v>
      </c>
      <c r="F14" s="29">
        <v>7</v>
      </c>
      <c r="G14" s="31">
        <v>483.41</v>
      </c>
      <c r="H14" s="32">
        <v>0.3</v>
      </c>
      <c r="I14" s="31" t="s">
        <v>18</v>
      </c>
      <c r="J14" s="29">
        <v>6</v>
      </c>
      <c r="K14" s="33">
        <v>1.4</v>
      </c>
      <c r="L14" s="31">
        <v>2368.71</v>
      </c>
      <c r="M14" s="29" t="str">
        <f t="shared" si="0"/>
        <v>Jan-22</v>
      </c>
      <c r="N14" s="29" t="str">
        <f t="shared" si="1"/>
        <v>OK</v>
      </c>
      <c r="O14" s="29" t="str">
        <f t="shared" si="2"/>
        <v>Standard</v>
      </c>
      <c r="P14" s="29" t="str">
        <f t="shared" si="3"/>
        <v>Low</v>
      </c>
      <c r="Q14" s="29" t="s">
        <v>44</v>
      </c>
      <c r="R14" s="29" t="s">
        <v>30</v>
      </c>
    </row>
    <row r="15" spans="1:18">
      <c r="A15" s="29">
        <v>10014</v>
      </c>
      <c r="B15" s="30">
        <v>44575</v>
      </c>
      <c r="C15" s="29">
        <v>1458</v>
      </c>
      <c r="D15" s="29" t="s">
        <v>15</v>
      </c>
      <c r="E15" s="29" t="s">
        <v>20</v>
      </c>
      <c r="F15" s="29">
        <v>7</v>
      </c>
      <c r="G15" s="31">
        <v>279.48</v>
      </c>
      <c r="H15" s="32">
        <v>0.26</v>
      </c>
      <c r="I15" s="31" t="s">
        <v>18</v>
      </c>
      <c r="J15" s="29">
        <v>8</v>
      </c>
      <c r="K15" s="33">
        <v>1.4</v>
      </c>
      <c r="L15" s="31">
        <v>1447.71</v>
      </c>
      <c r="M15" s="29" t="str">
        <f t="shared" si="0"/>
        <v>Jan-22</v>
      </c>
      <c r="N15" s="29" t="str">
        <f t="shared" si="1"/>
        <v>OK</v>
      </c>
      <c r="O15" s="29" t="str">
        <f t="shared" si="2"/>
        <v>Delayed</v>
      </c>
      <c r="P15" s="29" t="str">
        <f t="shared" si="3"/>
        <v>Low</v>
      </c>
      <c r="Q15" s="29" t="s">
        <v>45</v>
      </c>
      <c r="R15" s="29" t="s">
        <v>32</v>
      </c>
    </row>
    <row r="16" spans="1:18">
      <c r="A16" s="29">
        <v>10015</v>
      </c>
      <c r="B16" s="30">
        <v>44576</v>
      </c>
      <c r="C16" s="29">
        <v>1087</v>
      </c>
      <c r="D16" s="29" t="s">
        <v>15</v>
      </c>
      <c r="E16" s="29" t="s">
        <v>17</v>
      </c>
      <c r="F16" s="29">
        <v>4</v>
      </c>
      <c r="G16" s="31">
        <v>493.23</v>
      </c>
      <c r="H16" s="32">
        <v>0.18</v>
      </c>
      <c r="I16" s="31" t="s">
        <v>16</v>
      </c>
      <c r="J16" s="29">
        <v>9</v>
      </c>
      <c r="K16" s="33">
        <v>3.1</v>
      </c>
      <c r="L16" s="31">
        <v>1617.79</v>
      </c>
      <c r="M16" s="29" t="str">
        <f t="shared" si="0"/>
        <v>Jan-22</v>
      </c>
      <c r="N16" s="29" t="str">
        <f t="shared" si="1"/>
        <v>OK</v>
      </c>
      <c r="O16" s="29" t="str">
        <f t="shared" si="2"/>
        <v>Delayed</v>
      </c>
      <c r="P16" s="29" t="str">
        <f t="shared" si="3"/>
        <v>Average</v>
      </c>
      <c r="Q16" s="29" t="s">
        <v>46</v>
      </c>
      <c r="R16" s="29" t="s">
        <v>32</v>
      </c>
    </row>
    <row r="17" spans="1:18">
      <c r="A17" s="29">
        <v>10016</v>
      </c>
      <c r="B17" s="30">
        <v>44577</v>
      </c>
      <c r="C17" s="29">
        <v>1372</v>
      </c>
      <c r="D17" s="29" t="s">
        <v>15</v>
      </c>
      <c r="E17" s="29" t="s">
        <v>20</v>
      </c>
      <c r="F17" s="29">
        <v>2</v>
      </c>
      <c r="G17" s="31">
        <v>327.23</v>
      </c>
      <c r="H17" s="32">
        <v>0.2</v>
      </c>
      <c r="I17" s="31" t="s">
        <v>14</v>
      </c>
      <c r="J17" s="29">
        <v>5</v>
      </c>
      <c r="K17" s="33">
        <v>3.7</v>
      </c>
      <c r="L17" s="31">
        <v>523.57</v>
      </c>
      <c r="M17" s="29" t="str">
        <f t="shared" si="0"/>
        <v>Jan-22</v>
      </c>
      <c r="N17" s="29" t="str">
        <f t="shared" si="1"/>
        <v>OK</v>
      </c>
      <c r="O17" s="29" t="str">
        <f t="shared" si="2"/>
        <v>Standard</v>
      </c>
      <c r="P17" s="29" t="str">
        <f t="shared" si="3"/>
        <v>Good</v>
      </c>
      <c r="Q17" s="29" t="s">
        <v>47</v>
      </c>
      <c r="R17" s="29" t="s">
        <v>32</v>
      </c>
    </row>
    <row r="18" spans="1:18">
      <c r="A18" s="29">
        <v>10017</v>
      </c>
      <c r="B18" s="30">
        <v>44578</v>
      </c>
      <c r="C18" s="29">
        <v>1099</v>
      </c>
      <c r="D18" s="29" t="s">
        <v>15</v>
      </c>
      <c r="E18" s="29" t="s">
        <v>21</v>
      </c>
      <c r="F18" s="29">
        <v>3</v>
      </c>
      <c r="G18" s="31">
        <v>213.01</v>
      </c>
      <c r="H18" s="32">
        <v>0.05</v>
      </c>
      <c r="I18" s="31" t="s">
        <v>14</v>
      </c>
      <c r="J18" s="29">
        <v>11</v>
      </c>
      <c r="K18" s="33">
        <v>4.2</v>
      </c>
      <c r="L18" s="31">
        <v>607.08</v>
      </c>
      <c r="M18" s="29" t="str">
        <f t="shared" si="0"/>
        <v>Jan-22</v>
      </c>
      <c r="N18" s="29" t="str">
        <f t="shared" si="1"/>
        <v>OK</v>
      </c>
      <c r="O18" s="29" t="str">
        <f t="shared" si="2"/>
        <v>Delayed</v>
      </c>
      <c r="P18" s="29" t="str">
        <f t="shared" si="3"/>
        <v>Good</v>
      </c>
      <c r="Q18" s="29" t="s">
        <v>48</v>
      </c>
      <c r="R18" s="29" t="s">
        <v>32</v>
      </c>
    </row>
    <row r="19" spans="1:18">
      <c r="A19" s="29">
        <v>10018</v>
      </c>
      <c r="B19" s="30">
        <v>44579</v>
      </c>
      <c r="C19" s="29">
        <v>1871</v>
      </c>
      <c r="D19" s="29" t="s">
        <v>19</v>
      </c>
      <c r="E19" s="29" t="s">
        <v>17</v>
      </c>
      <c r="F19" s="29">
        <v>7</v>
      </c>
      <c r="G19" s="31">
        <v>399.9</v>
      </c>
      <c r="H19" s="32">
        <v>0.29</v>
      </c>
      <c r="I19" s="31" t="s">
        <v>18</v>
      </c>
      <c r="J19" s="29">
        <v>3</v>
      </c>
      <c r="K19" s="33">
        <v>3.8</v>
      </c>
      <c r="L19" s="31">
        <v>1987.5</v>
      </c>
      <c r="M19" s="29" t="str">
        <f t="shared" si="0"/>
        <v>Jan-22</v>
      </c>
      <c r="N19" s="29" t="str">
        <f t="shared" si="1"/>
        <v>OK</v>
      </c>
      <c r="O19" s="29" t="str">
        <f t="shared" si="2"/>
        <v>Fast</v>
      </c>
      <c r="P19" s="29" t="str">
        <f t="shared" si="3"/>
        <v>Good</v>
      </c>
      <c r="Q19" s="29" t="s">
        <v>49</v>
      </c>
      <c r="R19" s="29" t="s">
        <v>35</v>
      </c>
    </row>
    <row r="20" spans="1:18">
      <c r="A20" s="29">
        <v>10019</v>
      </c>
      <c r="B20" s="30">
        <v>44580</v>
      </c>
      <c r="C20" s="29">
        <v>1663</v>
      </c>
      <c r="D20" s="29" t="s">
        <v>22</v>
      </c>
      <c r="E20" s="29" t="s">
        <v>20</v>
      </c>
      <c r="F20" s="29">
        <v>3</v>
      </c>
      <c r="G20" s="31">
        <v>434.87</v>
      </c>
      <c r="H20" s="32">
        <v>0.28</v>
      </c>
      <c r="I20" s="31" t="s">
        <v>14</v>
      </c>
      <c r="J20" s="29">
        <v>4</v>
      </c>
      <c r="K20" s="33">
        <v>2.5</v>
      </c>
      <c r="L20" s="31">
        <v>939.32</v>
      </c>
      <c r="M20" s="29" t="str">
        <f t="shared" si="0"/>
        <v>Jan-22</v>
      </c>
      <c r="N20" s="29" t="str">
        <f t="shared" si="1"/>
        <v>OK</v>
      </c>
      <c r="O20" s="29" t="str">
        <f t="shared" si="2"/>
        <v>Standard</v>
      </c>
      <c r="P20" s="29" t="str">
        <f t="shared" si="3"/>
        <v>Average</v>
      </c>
      <c r="Q20" s="29" t="s">
        <v>50</v>
      </c>
      <c r="R20" s="29" t="s">
        <v>51</v>
      </c>
    </row>
    <row r="21" spans="1:18">
      <c r="A21" s="29">
        <v>10020</v>
      </c>
      <c r="B21" s="30">
        <v>44581</v>
      </c>
      <c r="C21" s="29">
        <v>1130</v>
      </c>
      <c r="D21" s="29" t="s">
        <v>19</v>
      </c>
      <c r="E21" s="29" t="s">
        <v>17</v>
      </c>
      <c r="F21" s="29">
        <v>7</v>
      </c>
      <c r="G21" s="31">
        <v>341.46</v>
      </c>
      <c r="H21" s="32">
        <v>0.23</v>
      </c>
      <c r="I21" s="31" t="s">
        <v>16</v>
      </c>
      <c r="J21" s="29">
        <v>11</v>
      </c>
      <c r="K21" s="33">
        <v>3.2</v>
      </c>
      <c r="L21" s="31">
        <v>1840.47</v>
      </c>
      <c r="M21" s="29" t="str">
        <f t="shared" si="0"/>
        <v>Jan-22</v>
      </c>
      <c r="N21" s="29" t="str">
        <f t="shared" si="1"/>
        <v>OK</v>
      </c>
      <c r="O21" s="29" t="str">
        <f t="shared" si="2"/>
        <v>Delayed</v>
      </c>
      <c r="P21" s="29" t="str">
        <f t="shared" si="3"/>
        <v>Average</v>
      </c>
      <c r="Q21" s="29" t="s">
        <v>52</v>
      </c>
      <c r="R21" s="29" t="s">
        <v>35</v>
      </c>
    </row>
    <row r="22" spans="1:18">
      <c r="A22" s="29">
        <v>10021</v>
      </c>
      <c r="B22" s="30">
        <v>44582</v>
      </c>
      <c r="C22" s="29">
        <v>1661</v>
      </c>
      <c r="D22" s="29" t="s">
        <v>22</v>
      </c>
      <c r="E22" s="29" t="s">
        <v>20</v>
      </c>
      <c r="F22" s="29">
        <v>1</v>
      </c>
      <c r="G22" s="31">
        <v>48.12</v>
      </c>
      <c r="H22" s="32">
        <v>0.16</v>
      </c>
      <c r="I22" s="31" t="s">
        <v>18</v>
      </c>
      <c r="J22" s="29">
        <v>8</v>
      </c>
      <c r="K22" s="33">
        <v>4.7</v>
      </c>
      <c r="L22" s="31">
        <v>40.42</v>
      </c>
      <c r="M22" s="29" t="str">
        <f t="shared" si="0"/>
        <v>Jan-22</v>
      </c>
      <c r="N22" s="29" t="str">
        <f t="shared" si="1"/>
        <v>OK</v>
      </c>
      <c r="O22" s="29" t="str">
        <f t="shared" si="2"/>
        <v>Delayed</v>
      </c>
      <c r="P22" s="29" t="str">
        <f t="shared" si="3"/>
        <v>Excellent</v>
      </c>
      <c r="Q22" s="29" t="s">
        <v>53</v>
      </c>
      <c r="R22" s="29" t="s">
        <v>51</v>
      </c>
    </row>
    <row r="23" spans="1:18">
      <c r="A23" s="29">
        <v>10022</v>
      </c>
      <c r="B23" s="30">
        <v>44583</v>
      </c>
      <c r="C23" s="29">
        <v>1308</v>
      </c>
      <c r="D23" s="29" t="s">
        <v>22</v>
      </c>
      <c r="E23" s="29" t="s">
        <v>21</v>
      </c>
      <c r="F23" s="29">
        <v>2</v>
      </c>
      <c r="G23" s="31">
        <v>114.38</v>
      </c>
      <c r="H23" s="32">
        <v>0.34</v>
      </c>
      <c r="I23" s="31" t="s">
        <v>16</v>
      </c>
      <c r="J23" s="29">
        <v>3</v>
      </c>
      <c r="K23" s="33">
        <v>2.6</v>
      </c>
      <c r="L23" s="31">
        <v>150.98</v>
      </c>
      <c r="M23" s="29" t="str">
        <f t="shared" si="0"/>
        <v>Jan-22</v>
      </c>
      <c r="N23" s="29" t="str">
        <f t="shared" si="1"/>
        <v>OK</v>
      </c>
      <c r="O23" s="29" t="str">
        <f t="shared" si="2"/>
        <v>Fast</v>
      </c>
      <c r="P23" s="29" t="str">
        <f t="shared" si="3"/>
        <v>Average</v>
      </c>
      <c r="Q23" s="29" t="s">
        <v>54</v>
      </c>
      <c r="R23" s="29" t="s">
        <v>51</v>
      </c>
    </row>
    <row r="24" spans="1:18">
      <c r="A24" s="29">
        <v>10023</v>
      </c>
      <c r="B24" s="30">
        <v>44584</v>
      </c>
      <c r="C24" s="29">
        <v>1769</v>
      </c>
      <c r="D24" s="29" t="s">
        <v>22</v>
      </c>
      <c r="E24" s="29" t="s">
        <v>20</v>
      </c>
      <c r="F24" s="29">
        <v>2</v>
      </c>
      <c r="G24" s="31">
        <v>181.9</v>
      </c>
      <c r="H24" s="32">
        <v>0.31</v>
      </c>
      <c r="I24" s="31" t="s">
        <v>16</v>
      </c>
      <c r="J24" s="29">
        <v>2</v>
      </c>
      <c r="K24" s="33">
        <v>2</v>
      </c>
      <c r="L24" s="31">
        <v>251.02</v>
      </c>
      <c r="M24" s="29" t="str">
        <f t="shared" si="0"/>
        <v>Jan-22</v>
      </c>
      <c r="N24" s="29" t="str">
        <f t="shared" si="1"/>
        <v>OK</v>
      </c>
      <c r="O24" s="29" t="str">
        <f t="shared" si="2"/>
        <v>Fast</v>
      </c>
      <c r="P24" s="29" t="str">
        <f t="shared" si="3"/>
        <v>Low</v>
      </c>
      <c r="Q24" s="29" t="s">
        <v>55</v>
      </c>
      <c r="R24" s="29" t="s">
        <v>51</v>
      </c>
    </row>
    <row r="25" spans="1:18">
      <c r="A25" s="29">
        <v>10024</v>
      </c>
      <c r="B25" s="30">
        <v>44585</v>
      </c>
      <c r="C25" s="29">
        <v>1343</v>
      </c>
      <c r="D25" s="29" t="s">
        <v>15</v>
      </c>
      <c r="E25" s="29" t="s">
        <v>17</v>
      </c>
      <c r="F25" s="29">
        <v>1</v>
      </c>
      <c r="G25" s="31">
        <v>180.34</v>
      </c>
      <c r="H25" s="32">
        <v>0.23</v>
      </c>
      <c r="I25" s="31" t="s">
        <v>16</v>
      </c>
      <c r="J25" s="29">
        <v>7</v>
      </c>
      <c r="K25" s="33">
        <v>3.1</v>
      </c>
      <c r="L25" s="31">
        <v>138.86</v>
      </c>
      <c r="M25" s="29" t="str">
        <f t="shared" si="0"/>
        <v>Jan-22</v>
      </c>
      <c r="N25" s="29" t="str">
        <f t="shared" si="1"/>
        <v>OK</v>
      </c>
      <c r="O25" s="29" t="str">
        <f t="shared" si="2"/>
        <v>Standard</v>
      </c>
      <c r="P25" s="29" t="str">
        <f t="shared" si="3"/>
        <v>Average</v>
      </c>
      <c r="Q25" s="29" t="s">
        <v>56</v>
      </c>
      <c r="R25" s="29" t="s">
        <v>32</v>
      </c>
    </row>
    <row r="26" spans="1:18">
      <c r="A26" s="29">
        <v>10025</v>
      </c>
      <c r="B26" s="30">
        <v>44586</v>
      </c>
      <c r="C26" s="29">
        <v>1491</v>
      </c>
      <c r="D26" s="29" t="s">
        <v>15</v>
      </c>
      <c r="E26" s="29" t="s">
        <v>21</v>
      </c>
      <c r="F26" s="29">
        <v>4</v>
      </c>
      <c r="G26" s="31">
        <v>408.95</v>
      </c>
      <c r="H26" s="32">
        <v>0.13</v>
      </c>
      <c r="I26" s="31" t="s">
        <v>18</v>
      </c>
      <c r="J26" s="29">
        <v>4</v>
      </c>
      <c r="K26" s="33">
        <v>2.2</v>
      </c>
      <c r="L26" s="31">
        <v>1423.15</v>
      </c>
      <c r="M26" s="29" t="str">
        <f t="shared" si="0"/>
        <v>Jan-22</v>
      </c>
      <c r="N26" s="29" t="str">
        <f t="shared" si="1"/>
        <v>OK</v>
      </c>
      <c r="O26" s="29" t="str">
        <f t="shared" si="2"/>
        <v>Standard</v>
      </c>
      <c r="P26" s="29" t="str">
        <f t="shared" si="3"/>
        <v>Low</v>
      </c>
      <c r="Q26" s="29" t="s">
        <v>57</v>
      </c>
      <c r="R26" s="29" t="s">
        <v>32</v>
      </c>
    </row>
    <row r="27" spans="1:18">
      <c r="A27" s="29">
        <v>10026</v>
      </c>
      <c r="B27" s="30">
        <v>44587</v>
      </c>
      <c r="C27" s="29">
        <v>1413</v>
      </c>
      <c r="D27" s="29" t="s">
        <v>19</v>
      </c>
      <c r="E27" s="29" t="s">
        <v>13</v>
      </c>
      <c r="F27" s="29">
        <v>7</v>
      </c>
      <c r="G27" s="31">
        <v>25.73</v>
      </c>
      <c r="H27" s="32">
        <v>0.22</v>
      </c>
      <c r="I27" s="31" t="s">
        <v>16</v>
      </c>
      <c r="J27" s="29">
        <v>8</v>
      </c>
      <c r="K27" s="33">
        <v>2</v>
      </c>
      <c r="L27" s="31">
        <v>140.49</v>
      </c>
      <c r="M27" s="29" t="str">
        <f t="shared" si="0"/>
        <v>Jan-22</v>
      </c>
      <c r="N27" s="29" t="str">
        <f t="shared" si="1"/>
        <v>OK</v>
      </c>
      <c r="O27" s="29" t="str">
        <f t="shared" si="2"/>
        <v>Delayed</v>
      </c>
      <c r="P27" s="29" t="str">
        <f t="shared" si="3"/>
        <v>Low</v>
      </c>
      <c r="Q27" s="29" t="s">
        <v>58</v>
      </c>
      <c r="R27" s="29" t="s">
        <v>35</v>
      </c>
    </row>
    <row r="28" spans="1:18">
      <c r="A28" s="29">
        <v>10027</v>
      </c>
      <c r="B28" s="30">
        <v>44588</v>
      </c>
      <c r="C28" s="29">
        <v>1805</v>
      </c>
      <c r="D28" s="29" t="s">
        <v>22</v>
      </c>
      <c r="E28" s="29" t="s">
        <v>21</v>
      </c>
      <c r="F28" s="29">
        <v>7</v>
      </c>
      <c r="G28" s="31">
        <v>457.07</v>
      </c>
      <c r="H28" s="32">
        <v>0.2</v>
      </c>
      <c r="I28" s="31" t="s">
        <v>18</v>
      </c>
      <c r="J28" s="29">
        <v>1</v>
      </c>
      <c r="K28" s="33">
        <v>4.1</v>
      </c>
      <c r="L28" s="31">
        <v>2559.59</v>
      </c>
      <c r="M28" s="29" t="str">
        <f t="shared" si="0"/>
        <v>Jan-22</v>
      </c>
      <c r="N28" s="29" t="str">
        <f t="shared" si="1"/>
        <v>OK</v>
      </c>
      <c r="O28" s="29" t="str">
        <f t="shared" si="2"/>
        <v>Fast</v>
      </c>
      <c r="P28" s="29" t="str">
        <f t="shared" si="3"/>
        <v>Good</v>
      </c>
      <c r="Q28" s="29" t="s">
        <v>59</v>
      </c>
      <c r="R28" s="29" t="s">
        <v>51</v>
      </c>
    </row>
    <row r="29" spans="1:18">
      <c r="A29" s="29">
        <v>10028</v>
      </c>
      <c r="B29" s="30">
        <v>44589</v>
      </c>
      <c r="C29" s="29">
        <v>1385</v>
      </c>
      <c r="D29" s="29" t="s">
        <v>19</v>
      </c>
      <c r="E29" s="29" t="s">
        <v>21</v>
      </c>
      <c r="F29" s="29">
        <v>7</v>
      </c>
      <c r="G29" s="31">
        <v>170.23</v>
      </c>
      <c r="H29" s="32">
        <v>0.14</v>
      </c>
      <c r="I29" s="31" t="s">
        <v>16</v>
      </c>
      <c r="J29" s="29">
        <v>8</v>
      </c>
      <c r="K29" s="33">
        <v>4.6</v>
      </c>
      <c r="L29" s="31">
        <v>1024.78</v>
      </c>
      <c r="M29" s="29" t="str">
        <f t="shared" si="0"/>
        <v>Jan-22</v>
      </c>
      <c r="N29" s="29" t="str">
        <f t="shared" si="1"/>
        <v>OK</v>
      </c>
      <c r="O29" s="29" t="str">
        <f t="shared" si="2"/>
        <v>Delayed</v>
      </c>
      <c r="P29" s="29" t="str">
        <f t="shared" si="3"/>
        <v>Excellent</v>
      </c>
      <c r="Q29" s="29" t="s">
        <v>60</v>
      </c>
      <c r="R29" s="29" t="s">
        <v>35</v>
      </c>
    </row>
    <row r="30" spans="1:18">
      <c r="A30" s="29">
        <v>10029</v>
      </c>
      <c r="B30" s="30">
        <v>44590</v>
      </c>
      <c r="C30" s="29">
        <v>1191</v>
      </c>
      <c r="D30" s="29" t="s">
        <v>15</v>
      </c>
      <c r="E30" s="29" t="s">
        <v>21</v>
      </c>
      <c r="F30" s="29">
        <v>6</v>
      </c>
      <c r="G30" s="31">
        <v>196.36</v>
      </c>
      <c r="H30" s="32">
        <v>0.11</v>
      </c>
      <c r="I30" s="31" t="s">
        <v>14</v>
      </c>
      <c r="J30" s="29">
        <v>5</v>
      </c>
      <c r="K30" s="33">
        <v>3</v>
      </c>
      <c r="L30" s="31">
        <v>1048.56</v>
      </c>
      <c r="M30" s="29" t="str">
        <f t="shared" si="0"/>
        <v>Jan-22</v>
      </c>
      <c r="N30" s="29" t="str">
        <f t="shared" si="1"/>
        <v>OK</v>
      </c>
      <c r="O30" s="29" t="str">
        <f t="shared" si="2"/>
        <v>Standard</v>
      </c>
      <c r="P30" s="29" t="str">
        <f t="shared" si="3"/>
        <v>Average</v>
      </c>
      <c r="Q30" s="29" t="s">
        <v>61</v>
      </c>
      <c r="R30" s="29" t="s">
        <v>32</v>
      </c>
    </row>
    <row r="31" spans="1:18">
      <c r="A31" s="29">
        <v>10030</v>
      </c>
      <c r="B31" s="30">
        <v>44591</v>
      </c>
      <c r="C31" s="29">
        <v>1955</v>
      </c>
      <c r="D31" s="29" t="s">
        <v>19</v>
      </c>
      <c r="E31" s="29" t="s">
        <v>17</v>
      </c>
      <c r="F31" s="29">
        <v>6</v>
      </c>
      <c r="G31" s="31">
        <v>323.83</v>
      </c>
      <c r="H31" s="32">
        <v>0.14</v>
      </c>
      <c r="I31" s="31" t="s">
        <v>18</v>
      </c>
      <c r="J31" s="29">
        <v>2</v>
      </c>
      <c r="K31" s="33">
        <v>4.1</v>
      </c>
      <c r="L31" s="31">
        <v>1670.96</v>
      </c>
      <c r="M31" s="29" t="str">
        <f t="shared" si="0"/>
        <v>Jan-22</v>
      </c>
      <c r="N31" s="29" t="str">
        <f t="shared" si="1"/>
        <v>OK</v>
      </c>
      <c r="O31" s="29" t="str">
        <f t="shared" si="2"/>
        <v>Fast</v>
      </c>
      <c r="P31" s="29" t="str">
        <f t="shared" si="3"/>
        <v>Good</v>
      </c>
      <c r="Q31" s="29" t="s">
        <v>62</v>
      </c>
      <c r="R31" s="29" t="s">
        <v>35</v>
      </c>
    </row>
    <row r="32" spans="1:18">
      <c r="A32" s="29">
        <v>10031</v>
      </c>
      <c r="B32" s="30">
        <v>44592</v>
      </c>
      <c r="C32" s="29">
        <v>1276</v>
      </c>
      <c r="D32" s="29" t="s">
        <v>19</v>
      </c>
      <c r="E32" s="29" t="s">
        <v>21</v>
      </c>
      <c r="F32" s="29">
        <v>6</v>
      </c>
      <c r="G32" s="31">
        <v>141.32</v>
      </c>
      <c r="H32" s="32">
        <v>0.2</v>
      </c>
      <c r="I32" s="31" t="s">
        <v>16</v>
      </c>
      <c r="J32" s="29">
        <v>1</v>
      </c>
      <c r="K32" s="33">
        <v>1.7</v>
      </c>
      <c r="L32" s="31">
        <v>678.34</v>
      </c>
      <c r="M32" s="29" t="str">
        <f t="shared" si="0"/>
        <v>Jan-22</v>
      </c>
      <c r="N32" s="29" t="str">
        <f t="shared" si="1"/>
        <v>OK</v>
      </c>
      <c r="O32" s="29" t="str">
        <f t="shared" si="2"/>
        <v>Fast</v>
      </c>
      <c r="P32" s="29" t="str">
        <f t="shared" si="3"/>
        <v>Low</v>
      </c>
      <c r="Q32" s="29" t="s">
        <v>63</v>
      </c>
      <c r="R32" s="29" t="s">
        <v>35</v>
      </c>
    </row>
    <row r="33" spans="1:18">
      <c r="A33" s="29">
        <v>10032</v>
      </c>
      <c r="B33" s="30">
        <v>44593</v>
      </c>
      <c r="C33" s="29">
        <v>1160</v>
      </c>
      <c r="D33" s="29" t="s">
        <v>15</v>
      </c>
      <c r="E33" s="29" t="s">
        <v>20</v>
      </c>
      <c r="F33" s="29">
        <v>6</v>
      </c>
      <c r="G33" s="31">
        <v>532.42</v>
      </c>
      <c r="H33" s="32">
        <v>0.15</v>
      </c>
      <c r="I33" s="31" t="s">
        <v>16</v>
      </c>
      <c r="J33" s="29">
        <v>6</v>
      </c>
      <c r="K33" s="33">
        <v>3.2</v>
      </c>
      <c r="L33" s="31">
        <v>2715.34</v>
      </c>
      <c r="M33" s="29" t="str">
        <f t="shared" si="0"/>
        <v>Feb-22</v>
      </c>
      <c r="N33" s="29" t="str">
        <f t="shared" si="1"/>
        <v>OK</v>
      </c>
      <c r="O33" s="29" t="str">
        <f t="shared" si="2"/>
        <v>Standard</v>
      </c>
      <c r="P33" s="29" t="str">
        <f t="shared" si="3"/>
        <v>Average</v>
      </c>
      <c r="Q33" s="29" t="s">
        <v>64</v>
      </c>
      <c r="R33" s="29" t="s">
        <v>32</v>
      </c>
    </row>
    <row r="34" spans="1:18">
      <c r="A34" s="29">
        <v>10033</v>
      </c>
      <c r="B34" s="30">
        <v>44594</v>
      </c>
      <c r="C34" s="29">
        <v>1459</v>
      </c>
      <c r="D34" s="29" t="s">
        <v>19</v>
      </c>
      <c r="E34" s="29" t="s">
        <v>21</v>
      </c>
      <c r="F34" s="29">
        <v>6</v>
      </c>
      <c r="G34" s="31">
        <v>64.94</v>
      </c>
      <c r="H34" s="32">
        <v>0.09</v>
      </c>
      <c r="I34" s="31" t="s">
        <v>14</v>
      </c>
      <c r="J34" s="29">
        <v>9</v>
      </c>
      <c r="K34" s="33">
        <v>3.5</v>
      </c>
      <c r="L34" s="31">
        <v>354.57</v>
      </c>
      <c r="M34" s="29" t="str">
        <f t="shared" si="0"/>
        <v>Feb-22</v>
      </c>
      <c r="N34" s="29" t="str">
        <f t="shared" si="1"/>
        <v>OK</v>
      </c>
      <c r="O34" s="29" t="str">
        <f t="shared" si="2"/>
        <v>Delayed</v>
      </c>
      <c r="P34" s="29" t="str">
        <f t="shared" si="3"/>
        <v>Good</v>
      </c>
      <c r="Q34" s="29" t="s">
        <v>65</v>
      </c>
      <c r="R34" s="29" t="s">
        <v>35</v>
      </c>
    </row>
    <row r="35" spans="1:18">
      <c r="A35" s="29">
        <v>10034</v>
      </c>
      <c r="B35" s="30">
        <v>44595</v>
      </c>
      <c r="C35" s="29">
        <v>1313</v>
      </c>
      <c r="D35" s="29" t="s">
        <v>22</v>
      </c>
      <c r="E35" s="29" t="s">
        <v>21</v>
      </c>
      <c r="F35" s="29">
        <v>1</v>
      </c>
      <c r="G35" s="31">
        <v>274.96</v>
      </c>
      <c r="H35" s="32">
        <v>0.27</v>
      </c>
      <c r="I35" s="31" t="s">
        <v>16</v>
      </c>
      <c r="J35" s="29">
        <v>9</v>
      </c>
      <c r="K35" s="33">
        <v>3</v>
      </c>
      <c r="L35" s="31">
        <v>200.72</v>
      </c>
      <c r="M35" s="29" t="str">
        <f t="shared" si="0"/>
        <v>Feb-22</v>
      </c>
      <c r="N35" s="29" t="str">
        <f t="shared" si="1"/>
        <v>OK</v>
      </c>
      <c r="O35" s="29" t="str">
        <f t="shared" si="2"/>
        <v>Delayed</v>
      </c>
      <c r="P35" s="29" t="str">
        <f t="shared" si="3"/>
        <v>Average</v>
      </c>
      <c r="Q35" s="29" t="s">
        <v>66</v>
      </c>
      <c r="R35" s="29" t="s">
        <v>51</v>
      </c>
    </row>
    <row r="36" spans="1:18">
      <c r="A36" s="29">
        <v>10035</v>
      </c>
      <c r="B36" s="30">
        <v>44596</v>
      </c>
      <c r="C36" s="29">
        <v>1021</v>
      </c>
      <c r="D36" s="29" t="s">
        <v>19</v>
      </c>
      <c r="E36" s="29" t="s">
        <v>20</v>
      </c>
      <c r="F36" s="29">
        <v>2</v>
      </c>
      <c r="G36" s="31">
        <v>511.91</v>
      </c>
      <c r="H36" s="32">
        <v>0.19</v>
      </c>
      <c r="I36" s="31" t="s">
        <v>18</v>
      </c>
      <c r="J36" s="29">
        <v>9</v>
      </c>
      <c r="K36" s="33">
        <v>1.5</v>
      </c>
      <c r="L36" s="31">
        <v>829.29</v>
      </c>
      <c r="M36" s="29" t="str">
        <f t="shared" si="0"/>
        <v>Feb-22</v>
      </c>
      <c r="N36" s="29" t="str">
        <f t="shared" si="1"/>
        <v>OK</v>
      </c>
      <c r="O36" s="29" t="str">
        <f t="shared" si="2"/>
        <v>Delayed</v>
      </c>
      <c r="P36" s="29" t="str">
        <f t="shared" si="3"/>
        <v>Low</v>
      </c>
      <c r="Q36" s="29" t="s">
        <v>67</v>
      </c>
      <c r="R36" s="29" t="s">
        <v>35</v>
      </c>
    </row>
    <row r="37" spans="1:18">
      <c r="A37" s="29">
        <v>10036</v>
      </c>
      <c r="B37" s="30">
        <v>44597</v>
      </c>
      <c r="C37" s="29">
        <v>1252</v>
      </c>
      <c r="D37" s="29" t="s">
        <v>19</v>
      </c>
      <c r="E37" s="29" t="s">
        <v>20</v>
      </c>
      <c r="F37" s="29">
        <v>4</v>
      </c>
      <c r="G37" s="31">
        <v>375.27</v>
      </c>
      <c r="H37" s="32">
        <v>0.02</v>
      </c>
      <c r="I37" s="31" t="s">
        <v>18</v>
      </c>
      <c r="J37" s="29">
        <v>11</v>
      </c>
      <c r="K37" s="33">
        <v>3.9</v>
      </c>
      <c r="L37" s="31">
        <v>1471.06</v>
      </c>
      <c r="M37" s="29" t="str">
        <f t="shared" si="0"/>
        <v>Feb-22</v>
      </c>
      <c r="N37" s="29" t="str">
        <f t="shared" si="1"/>
        <v>OK</v>
      </c>
      <c r="O37" s="29" t="str">
        <f t="shared" si="2"/>
        <v>Delayed</v>
      </c>
      <c r="P37" s="29" t="str">
        <f t="shared" si="3"/>
        <v>Good</v>
      </c>
      <c r="Q37" s="29" t="s">
        <v>68</v>
      </c>
      <c r="R37" s="29" t="s">
        <v>35</v>
      </c>
    </row>
    <row r="38" spans="1:18">
      <c r="A38" s="29">
        <v>10037</v>
      </c>
      <c r="B38" s="30">
        <v>44598</v>
      </c>
      <c r="C38" s="29">
        <v>1747</v>
      </c>
      <c r="D38" s="29" t="s">
        <v>15</v>
      </c>
      <c r="E38" s="29" t="s">
        <v>13</v>
      </c>
      <c r="F38" s="29">
        <v>3</v>
      </c>
      <c r="G38" s="31">
        <v>186.01</v>
      </c>
      <c r="H38" s="32">
        <v>0.13</v>
      </c>
      <c r="I38" s="31" t="s">
        <v>16</v>
      </c>
      <c r="J38" s="29">
        <v>4</v>
      </c>
      <c r="K38" s="33">
        <v>4.4</v>
      </c>
      <c r="L38" s="31">
        <v>485.49</v>
      </c>
      <c r="M38" s="29" t="str">
        <f t="shared" si="0"/>
        <v>Feb-22</v>
      </c>
      <c r="N38" s="29" t="str">
        <f t="shared" si="1"/>
        <v>OK</v>
      </c>
      <c r="O38" s="29" t="str">
        <f t="shared" si="2"/>
        <v>Standard</v>
      </c>
      <c r="P38" s="29" t="str">
        <f t="shared" si="3"/>
        <v>Good</v>
      </c>
      <c r="Q38" s="29" t="s">
        <v>69</v>
      </c>
      <c r="R38" s="29" t="s">
        <v>32</v>
      </c>
    </row>
    <row r="39" spans="1:18">
      <c r="A39" s="29">
        <v>10038</v>
      </c>
      <c r="B39" s="30">
        <v>44599</v>
      </c>
      <c r="C39" s="29">
        <v>1856</v>
      </c>
      <c r="D39" s="29" t="s">
        <v>19</v>
      </c>
      <c r="E39" s="29" t="s">
        <v>21</v>
      </c>
      <c r="F39" s="29">
        <v>6</v>
      </c>
      <c r="G39" s="31">
        <v>261.14</v>
      </c>
      <c r="H39" s="32">
        <v>0.31</v>
      </c>
      <c r="I39" s="31" t="s">
        <v>16</v>
      </c>
      <c r="J39" s="29">
        <v>6</v>
      </c>
      <c r="K39" s="33">
        <v>3.5</v>
      </c>
      <c r="L39" s="31">
        <v>1081.12</v>
      </c>
      <c r="M39" s="29" t="str">
        <f t="shared" si="0"/>
        <v>Feb-22</v>
      </c>
      <c r="N39" s="29" t="str">
        <f t="shared" si="1"/>
        <v>OK</v>
      </c>
      <c r="O39" s="29" t="str">
        <f t="shared" si="2"/>
        <v>Standard</v>
      </c>
      <c r="P39" s="29" t="str">
        <f t="shared" si="3"/>
        <v>Good</v>
      </c>
      <c r="Q39" s="29" t="s">
        <v>70</v>
      </c>
      <c r="R39" s="29" t="s">
        <v>35</v>
      </c>
    </row>
    <row r="40" spans="1:18">
      <c r="A40" s="29">
        <v>10039</v>
      </c>
      <c r="B40" s="30">
        <v>44600</v>
      </c>
      <c r="C40" s="29">
        <v>1560</v>
      </c>
      <c r="D40" s="29" t="s">
        <v>19</v>
      </c>
      <c r="E40" s="29" t="s">
        <v>17</v>
      </c>
      <c r="F40" s="29">
        <v>1</v>
      </c>
      <c r="G40" s="31">
        <v>428.42</v>
      </c>
      <c r="H40" s="32">
        <v>0.26</v>
      </c>
      <c r="I40" s="31" t="s">
        <v>18</v>
      </c>
      <c r="J40" s="29">
        <v>10</v>
      </c>
      <c r="K40" s="33">
        <v>1.7</v>
      </c>
      <c r="L40" s="31">
        <v>317.03</v>
      </c>
      <c r="M40" s="29" t="str">
        <f t="shared" si="0"/>
        <v>Feb-22</v>
      </c>
      <c r="N40" s="29" t="str">
        <f t="shared" si="1"/>
        <v>OK</v>
      </c>
      <c r="O40" s="29" t="str">
        <f t="shared" si="2"/>
        <v>Delayed</v>
      </c>
      <c r="P40" s="29" t="str">
        <f t="shared" si="3"/>
        <v>Low</v>
      </c>
      <c r="Q40" s="29" t="s">
        <v>71</v>
      </c>
      <c r="R40" s="29" t="s">
        <v>35</v>
      </c>
    </row>
    <row r="41" spans="1:18">
      <c r="A41" s="29">
        <v>10040</v>
      </c>
      <c r="B41" s="30">
        <v>44601</v>
      </c>
      <c r="C41" s="29">
        <v>1474</v>
      </c>
      <c r="D41" s="29" t="s">
        <v>22</v>
      </c>
      <c r="E41" s="29" t="s">
        <v>21</v>
      </c>
      <c r="F41" s="29">
        <v>7</v>
      </c>
      <c r="G41" s="31">
        <v>584.36</v>
      </c>
      <c r="H41" s="32">
        <v>0.11</v>
      </c>
      <c r="I41" s="31" t="s">
        <v>16</v>
      </c>
      <c r="J41" s="29">
        <v>6</v>
      </c>
      <c r="K41" s="33">
        <v>1.3</v>
      </c>
      <c r="L41" s="31">
        <v>3640.56</v>
      </c>
      <c r="M41" s="29" t="str">
        <f t="shared" si="0"/>
        <v>Feb-22</v>
      </c>
      <c r="N41" s="29" t="str">
        <f t="shared" si="1"/>
        <v>OK</v>
      </c>
      <c r="O41" s="29" t="str">
        <f t="shared" si="2"/>
        <v>Standard</v>
      </c>
      <c r="P41" s="29" t="str">
        <f t="shared" si="3"/>
        <v>Low</v>
      </c>
      <c r="Q41" s="29" t="s">
        <v>72</v>
      </c>
      <c r="R41" s="29" t="s">
        <v>51</v>
      </c>
    </row>
    <row r="42" spans="1:18">
      <c r="A42" s="29">
        <v>10041</v>
      </c>
      <c r="B42" s="30">
        <v>44602</v>
      </c>
      <c r="C42" s="29">
        <v>1058</v>
      </c>
      <c r="D42" s="29" t="s">
        <v>19</v>
      </c>
      <c r="E42" s="29" t="s">
        <v>21</v>
      </c>
      <c r="F42" s="29">
        <v>4</v>
      </c>
      <c r="G42" s="31">
        <v>537.49</v>
      </c>
      <c r="H42" s="32">
        <v>0.33</v>
      </c>
      <c r="I42" s="31" t="s">
        <v>16</v>
      </c>
      <c r="J42" s="29">
        <v>5</v>
      </c>
      <c r="K42" s="33">
        <v>2.2</v>
      </c>
      <c r="L42" s="31">
        <v>1440.47</v>
      </c>
      <c r="M42" s="29" t="str">
        <f t="shared" si="0"/>
        <v>Feb-22</v>
      </c>
      <c r="N42" s="29" t="str">
        <f t="shared" si="1"/>
        <v>OK</v>
      </c>
      <c r="O42" s="29" t="str">
        <f t="shared" si="2"/>
        <v>Standard</v>
      </c>
      <c r="P42" s="29" t="str">
        <f t="shared" si="3"/>
        <v>Low</v>
      </c>
      <c r="Q42" s="29" t="s">
        <v>73</v>
      </c>
      <c r="R42" s="29" t="s">
        <v>35</v>
      </c>
    </row>
    <row r="43" spans="1:18">
      <c r="A43" s="29">
        <v>10042</v>
      </c>
      <c r="B43" s="30">
        <v>44603</v>
      </c>
      <c r="C43" s="29">
        <v>1510</v>
      </c>
      <c r="D43" s="29" t="s">
        <v>22</v>
      </c>
      <c r="E43" s="29" t="s">
        <v>20</v>
      </c>
      <c r="F43" s="29">
        <v>4</v>
      </c>
      <c r="G43" s="31">
        <v>215.32</v>
      </c>
      <c r="H43" s="32">
        <v>0.03</v>
      </c>
      <c r="I43" s="31" t="s">
        <v>16</v>
      </c>
      <c r="J43" s="29">
        <v>2</v>
      </c>
      <c r="K43" s="33">
        <v>1.1</v>
      </c>
      <c r="L43" s="31">
        <v>835.44</v>
      </c>
      <c r="M43" s="29" t="str">
        <f t="shared" si="0"/>
        <v>Feb-22</v>
      </c>
      <c r="N43" s="29" t="str">
        <f t="shared" si="1"/>
        <v>OK</v>
      </c>
      <c r="O43" s="29" t="str">
        <f t="shared" si="2"/>
        <v>Fast</v>
      </c>
      <c r="P43" s="29" t="str">
        <f t="shared" si="3"/>
        <v>Low</v>
      </c>
      <c r="Q43" s="29" t="s">
        <v>74</v>
      </c>
      <c r="R43" s="29" t="s">
        <v>51</v>
      </c>
    </row>
    <row r="44" spans="1:18">
      <c r="A44" s="29">
        <v>10043</v>
      </c>
      <c r="B44" s="30">
        <v>44604</v>
      </c>
      <c r="C44" s="29">
        <v>1681</v>
      </c>
      <c r="D44" s="29" t="s">
        <v>19</v>
      </c>
      <c r="E44" s="29" t="s">
        <v>13</v>
      </c>
      <c r="F44" s="29">
        <v>4</v>
      </c>
      <c r="G44" s="31">
        <v>598.95</v>
      </c>
      <c r="H44" s="32">
        <v>0.34</v>
      </c>
      <c r="I44" s="31" t="s">
        <v>16</v>
      </c>
      <c r="J44" s="29">
        <v>7</v>
      </c>
      <c r="K44" s="33">
        <v>4.4</v>
      </c>
      <c r="L44" s="31">
        <v>1581.23</v>
      </c>
      <c r="M44" s="29" t="str">
        <f t="shared" si="0"/>
        <v>Feb-22</v>
      </c>
      <c r="N44" s="29" t="str">
        <f t="shared" si="1"/>
        <v>OK</v>
      </c>
      <c r="O44" s="29" t="str">
        <f t="shared" si="2"/>
        <v>Standard</v>
      </c>
      <c r="P44" s="29" t="str">
        <f t="shared" si="3"/>
        <v>Good</v>
      </c>
      <c r="Q44" s="29" t="s">
        <v>75</v>
      </c>
      <c r="R44" s="29" t="s">
        <v>35</v>
      </c>
    </row>
    <row r="45" spans="1:18">
      <c r="A45" s="29">
        <v>10044</v>
      </c>
      <c r="B45" s="30">
        <v>44605</v>
      </c>
      <c r="C45" s="29">
        <v>1475</v>
      </c>
      <c r="D45" s="29" t="s">
        <v>19</v>
      </c>
      <c r="E45" s="29" t="s">
        <v>21</v>
      </c>
      <c r="F45" s="29">
        <v>1</v>
      </c>
      <c r="G45" s="31">
        <v>17.05</v>
      </c>
      <c r="H45" s="32">
        <v>0.09</v>
      </c>
      <c r="I45" s="31" t="s">
        <v>16</v>
      </c>
      <c r="J45" s="29">
        <v>1</v>
      </c>
      <c r="K45" s="33">
        <v>3.8</v>
      </c>
      <c r="L45" s="31">
        <v>15.52</v>
      </c>
      <c r="M45" s="29" t="str">
        <f t="shared" si="0"/>
        <v>Feb-22</v>
      </c>
      <c r="N45" s="29" t="str">
        <f t="shared" si="1"/>
        <v>OK</v>
      </c>
      <c r="O45" s="29" t="str">
        <f t="shared" si="2"/>
        <v>Fast</v>
      </c>
      <c r="P45" s="29" t="str">
        <f t="shared" si="3"/>
        <v>Good</v>
      </c>
      <c r="Q45" s="29" t="s">
        <v>76</v>
      </c>
      <c r="R45" s="29" t="s">
        <v>35</v>
      </c>
    </row>
    <row r="46" spans="1:18">
      <c r="A46" s="29">
        <v>10045</v>
      </c>
      <c r="B46" s="30">
        <v>44606</v>
      </c>
      <c r="C46" s="29">
        <v>1699</v>
      </c>
      <c r="D46" s="29" t="s">
        <v>22</v>
      </c>
      <c r="E46" s="29" t="s">
        <v>17</v>
      </c>
      <c r="F46" s="29">
        <v>3</v>
      </c>
      <c r="G46" s="31">
        <v>31.16</v>
      </c>
      <c r="H46" s="32">
        <v>0</v>
      </c>
      <c r="I46" s="31" t="s">
        <v>14</v>
      </c>
      <c r="J46" s="29">
        <v>6</v>
      </c>
      <c r="K46" s="33">
        <v>3.3</v>
      </c>
      <c r="L46" s="31">
        <v>93.48</v>
      </c>
      <c r="M46" s="29" t="str">
        <f t="shared" si="0"/>
        <v>Feb-22</v>
      </c>
      <c r="N46" s="29" t="str">
        <f t="shared" si="1"/>
        <v>OK</v>
      </c>
      <c r="O46" s="29" t="str">
        <f t="shared" si="2"/>
        <v>Standard</v>
      </c>
      <c r="P46" s="29" t="str">
        <f t="shared" si="3"/>
        <v>Average</v>
      </c>
      <c r="Q46" s="29" t="s">
        <v>77</v>
      </c>
      <c r="R46" s="29" t="s">
        <v>51</v>
      </c>
    </row>
    <row r="47" spans="1:18">
      <c r="A47" s="29">
        <v>10046</v>
      </c>
      <c r="B47" s="30">
        <v>44607</v>
      </c>
      <c r="C47" s="29">
        <v>1975</v>
      </c>
      <c r="D47" s="29" t="s">
        <v>19</v>
      </c>
      <c r="E47" s="29" t="s">
        <v>21</v>
      </c>
      <c r="F47" s="29">
        <v>6</v>
      </c>
      <c r="G47" s="31">
        <v>496.95</v>
      </c>
      <c r="H47" s="32">
        <v>0.15</v>
      </c>
      <c r="I47" s="31" t="s">
        <v>18</v>
      </c>
      <c r="J47" s="29">
        <v>5</v>
      </c>
      <c r="K47" s="33">
        <v>4.6</v>
      </c>
      <c r="L47" s="31">
        <v>2534.44</v>
      </c>
      <c r="M47" s="29" t="str">
        <f t="shared" si="0"/>
        <v>Feb-22</v>
      </c>
      <c r="N47" s="29" t="str">
        <f t="shared" si="1"/>
        <v>Check</v>
      </c>
      <c r="O47" s="29" t="str">
        <f t="shared" si="2"/>
        <v>Standard</v>
      </c>
      <c r="P47" s="29" t="str">
        <f t="shared" si="3"/>
        <v>Excellent</v>
      </c>
      <c r="Q47" s="29" t="s">
        <v>78</v>
      </c>
      <c r="R47" s="29" t="s">
        <v>35</v>
      </c>
    </row>
    <row r="48" spans="1:18">
      <c r="A48" s="29">
        <v>10047</v>
      </c>
      <c r="B48" s="30">
        <v>44608</v>
      </c>
      <c r="C48" s="29">
        <v>1782</v>
      </c>
      <c r="D48" s="29" t="s">
        <v>19</v>
      </c>
      <c r="E48" s="29" t="s">
        <v>17</v>
      </c>
      <c r="F48" s="29">
        <v>4</v>
      </c>
      <c r="G48" s="31">
        <v>131.69</v>
      </c>
      <c r="H48" s="32">
        <v>0.13</v>
      </c>
      <c r="I48" s="31" t="s">
        <v>18</v>
      </c>
      <c r="J48" s="29">
        <v>5</v>
      </c>
      <c r="K48" s="33">
        <v>1.4</v>
      </c>
      <c r="L48" s="31">
        <v>458.28</v>
      </c>
      <c r="M48" s="29" t="str">
        <f t="shared" si="0"/>
        <v>Feb-22</v>
      </c>
      <c r="N48" s="29" t="str">
        <f t="shared" si="1"/>
        <v>OK</v>
      </c>
      <c r="O48" s="29" t="str">
        <f t="shared" si="2"/>
        <v>Standard</v>
      </c>
      <c r="P48" s="29" t="str">
        <f t="shared" si="3"/>
        <v>Low</v>
      </c>
      <c r="Q48" s="29" t="s">
        <v>79</v>
      </c>
      <c r="R48" s="29" t="s">
        <v>35</v>
      </c>
    </row>
    <row r="49" spans="1:18">
      <c r="A49" s="29">
        <v>10048</v>
      </c>
      <c r="B49" s="30">
        <v>44609</v>
      </c>
      <c r="C49" s="29">
        <v>1189</v>
      </c>
      <c r="D49" s="29" t="s">
        <v>15</v>
      </c>
      <c r="E49" s="29" t="s">
        <v>20</v>
      </c>
      <c r="F49" s="29">
        <v>1</v>
      </c>
      <c r="G49" s="31">
        <v>50.55</v>
      </c>
      <c r="H49" s="32">
        <v>0.19</v>
      </c>
      <c r="I49" s="31" t="s">
        <v>16</v>
      </c>
      <c r="J49" s="29">
        <v>8</v>
      </c>
      <c r="K49" s="33">
        <v>3.9</v>
      </c>
      <c r="L49" s="31">
        <v>40.95</v>
      </c>
      <c r="M49" s="29" t="str">
        <f t="shared" si="0"/>
        <v>Feb-22</v>
      </c>
      <c r="N49" s="29" t="str">
        <f t="shared" si="1"/>
        <v>OK</v>
      </c>
      <c r="O49" s="29" t="str">
        <f t="shared" si="2"/>
        <v>Delayed</v>
      </c>
      <c r="P49" s="29" t="str">
        <f t="shared" si="3"/>
        <v>Good</v>
      </c>
      <c r="Q49" s="29" t="s">
        <v>80</v>
      </c>
      <c r="R49" s="29" t="s">
        <v>32</v>
      </c>
    </row>
    <row r="50" spans="1:18">
      <c r="A50" s="29">
        <v>10049</v>
      </c>
      <c r="B50" s="30">
        <v>44610</v>
      </c>
      <c r="C50" s="29">
        <v>1957</v>
      </c>
      <c r="D50" s="29" t="s">
        <v>19</v>
      </c>
      <c r="E50" s="29" t="s">
        <v>13</v>
      </c>
      <c r="F50" s="29">
        <v>7</v>
      </c>
      <c r="G50" s="31">
        <v>153.73</v>
      </c>
      <c r="H50" s="32">
        <v>0.28</v>
      </c>
      <c r="I50" s="31" t="s">
        <v>16</v>
      </c>
      <c r="J50" s="29">
        <v>9</v>
      </c>
      <c r="K50" s="33">
        <v>1.6</v>
      </c>
      <c r="L50" s="31">
        <v>774.8</v>
      </c>
      <c r="M50" s="29" t="str">
        <f t="shared" si="0"/>
        <v>Feb-22</v>
      </c>
      <c r="N50" s="29" t="str">
        <f t="shared" si="1"/>
        <v>OK</v>
      </c>
      <c r="O50" s="29" t="str">
        <f t="shared" si="2"/>
        <v>Delayed</v>
      </c>
      <c r="P50" s="29" t="str">
        <f t="shared" si="3"/>
        <v>Low</v>
      </c>
      <c r="Q50" s="29" t="s">
        <v>81</v>
      </c>
      <c r="R50" s="29" t="s">
        <v>35</v>
      </c>
    </row>
    <row r="51" spans="1:18">
      <c r="A51" s="29">
        <v>10050</v>
      </c>
      <c r="B51" s="30">
        <v>44611</v>
      </c>
      <c r="C51" s="29">
        <v>1686</v>
      </c>
      <c r="D51" s="29" t="s">
        <v>22</v>
      </c>
      <c r="E51" s="29" t="s">
        <v>21</v>
      </c>
      <c r="F51" s="29">
        <v>2</v>
      </c>
      <c r="G51" s="31">
        <v>264.27</v>
      </c>
      <c r="H51" s="32">
        <v>0.29</v>
      </c>
      <c r="I51" s="31" t="s">
        <v>14</v>
      </c>
      <c r="J51" s="29">
        <v>7</v>
      </c>
      <c r="K51" s="33">
        <v>1.2</v>
      </c>
      <c r="L51" s="31">
        <v>375.26</v>
      </c>
      <c r="M51" s="29" t="str">
        <f t="shared" si="0"/>
        <v>Feb-22</v>
      </c>
      <c r="N51" s="29" t="str">
        <f t="shared" si="1"/>
        <v>OK</v>
      </c>
      <c r="O51" s="29" t="str">
        <f t="shared" si="2"/>
        <v>Standard</v>
      </c>
      <c r="P51" s="29" t="str">
        <f t="shared" si="3"/>
        <v>Low</v>
      </c>
      <c r="Q51" s="29" t="s">
        <v>82</v>
      </c>
      <c r="R51" s="29" t="s">
        <v>51</v>
      </c>
    </row>
    <row r="52" spans="1:18">
      <c r="A52" s="29">
        <v>10051</v>
      </c>
      <c r="B52" s="30">
        <v>44612</v>
      </c>
      <c r="C52" s="29">
        <v>1957</v>
      </c>
      <c r="D52" s="29" t="s">
        <v>19</v>
      </c>
      <c r="E52" s="29" t="s">
        <v>13</v>
      </c>
      <c r="F52" s="29">
        <v>7</v>
      </c>
      <c r="G52" s="31">
        <v>442.38</v>
      </c>
      <c r="H52" s="32">
        <v>0.14</v>
      </c>
      <c r="I52" s="31" t="s">
        <v>18</v>
      </c>
      <c r="J52" s="29">
        <v>10</v>
      </c>
      <c r="K52" s="33">
        <v>1.5</v>
      </c>
      <c r="L52" s="31">
        <v>2663.13</v>
      </c>
      <c r="M52" s="29" t="str">
        <f t="shared" si="0"/>
        <v>Feb-22</v>
      </c>
      <c r="N52" s="29" t="str">
        <f t="shared" si="1"/>
        <v>OK</v>
      </c>
      <c r="O52" s="29" t="str">
        <f t="shared" si="2"/>
        <v>Delayed</v>
      </c>
      <c r="P52" s="29" t="str">
        <f t="shared" si="3"/>
        <v>Low</v>
      </c>
      <c r="Q52" s="29" t="s">
        <v>81</v>
      </c>
      <c r="R52" s="29" t="s">
        <v>35</v>
      </c>
    </row>
    <row r="53" spans="1:18">
      <c r="A53" s="29">
        <v>10052</v>
      </c>
      <c r="B53" s="30">
        <v>44613</v>
      </c>
      <c r="C53" s="29">
        <v>1562</v>
      </c>
      <c r="D53" s="29" t="s">
        <v>22</v>
      </c>
      <c r="E53" s="29" t="s">
        <v>21</v>
      </c>
      <c r="F53" s="29">
        <v>1</v>
      </c>
      <c r="G53" s="31">
        <v>380.24</v>
      </c>
      <c r="H53" s="32">
        <v>0.15</v>
      </c>
      <c r="I53" s="31" t="s">
        <v>16</v>
      </c>
      <c r="J53" s="29">
        <v>8</v>
      </c>
      <c r="K53" s="33">
        <v>4.8</v>
      </c>
      <c r="L53" s="31">
        <v>323.2</v>
      </c>
      <c r="M53" s="29" t="str">
        <f t="shared" si="0"/>
        <v>Feb-22</v>
      </c>
      <c r="N53" s="29" t="str">
        <f t="shared" si="1"/>
        <v>OK</v>
      </c>
      <c r="O53" s="29" t="str">
        <f t="shared" si="2"/>
        <v>Delayed</v>
      </c>
      <c r="P53" s="29" t="str">
        <f t="shared" si="3"/>
        <v>Excellent</v>
      </c>
      <c r="Q53" s="29" t="s">
        <v>83</v>
      </c>
      <c r="R53" s="29" t="s">
        <v>51</v>
      </c>
    </row>
    <row r="54" spans="1:18">
      <c r="A54" s="29">
        <v>10053</v>
      </c>
      <c r="B54" s="30">
        <v>44614</v>
      </c>
      <c r="C54" s="29">
        <v>1875</v>
      </c>
      <c r="D54" s="29" t="s">
        <v>12</v>
      </c>
      <c r="E54" s="29" t="s">
        <v>17</v>
      </c>
      <c r="F54" s="29">
        <v>1</v>
      </c>
      <c r="G54" s="31">
        <v>154.01</v>
      </c>
      <c r="H54" s="32">
        <v>0.05</v>
      </c>
      <c r="I54" s="31" t="s">
        <v>16</v>
      </c>
      <c r="J54" s="29">
        <v>2</v>
      </c>
      <c r="K54" s="33">
        <v>2.8</v>
      </c>
      <c r="L54" s="31">
        <v>146.31</v>
      </c>
      <c r="M54" s="29" t="str">
        <f t="shared" si="0"/>
        <v>Feb-22</v>
      </c>
      <c r="N54" s="29" t="str">
        <f t="shared" si="1"/>
        <v>OK</v>
      </c>
      <c r="O54" s="29" t="str">
        <f t="shared" si="2"/>
        <v>Fast</v>
      </c>
      <c r="P54" s="29" t="str">
        <f t="shared" si="3"/>
        <v>Average</v>
      </c>
      <c r="Q54" s="29" t="s">
        <v>84</v>
      </c>
      <c r="R54" s="29" t="s">
        <v>30</v>
      </c>
    </row>
    <row r="55" spans="1:18">
      <c r="A55" s="29">
        <v>10054</v>
      </c>
      <c r="B55" s="30">
        <v>44615</v>
      </c>
      <c r="C55" s="29">
        <v>1566</v>
      </c>
      <c r="D55" s="29" t="s">
        <v>15</v>
      </c>
      <c r="E55" s="29" t="s">
        <v>13</v>
      </c>
      <c r="F55" s="29">
        <v>1</v>
      </c>
      <c r="G55" s="31">
        <v>309.41</v>
      </c>
      <c r="H55" s="32">
        <v>0.02</v>
      </c>
      <c r="I55" s="31" t="s">
        <v>18</v>
      </c>
      <c r="J55" s="29">
        <v>2</v>
      </c>
      <c r="K55" s="33">
        <v>1.2</v>
      </c>
      <c r="L55" s="31">
        <v>303.22</v>
      </c>
      <c r="M55" s="29" t="str">
        <f t="shared" si="0"/>
        <v>Feb-22</v>
      </c>
      <c r="N55" s="29" t="str">
        <f t="shared" si="1"/>
        <v>OK</v>
      </c>
      <c r="O55" s="29" t="str">
        <f t="shared" si="2"/>
        <v>Fast</v>
      </c>
      <c r="P55" s="29" t="str">
        <f t="shared" si="3"/>
        <v>Low</v>
      </c>
      <c r="Q55" s="29" t="s">
        <v>85</v>
      </c>
      <c r="R55" s="29" t="s">
        <v>32</v>
      </c>
    </row>
    <row r="56" spans="1:18">
      <c r="A56" s="29">
        <v>10055</v>
      </c>
      <c r="B56" s="30">
        <v>44616</v>
      </c>
      <c r="C56" s="29">
        <v>1243</v>
      </c>
      <c r="D56" s="29" t="s">
        <v>12</v>
      </c>
      <c r="E56" s="29" t="s">
        <v>21</v>
      </c>
      <c r="F56" s="29">
        <v>4</v>
      </c>
      <c r="G56" s="31">
        <v>556.84</v>
      </c>
      <c r="H56" s="32">
        <v>0.22</v>
      </c>
      <c r="I56" s="31" t="s">
        <v>14</v>
      </c>
      <c r="J56" s="29">
        <v>8</v>
      </c>
      <c r="K56" s="33">
        <v>3.3</v>
      </c>
      <c r="L56" s="31">
        <v>1737.34</v>
      </c>
      <c r="M56" s="29" t="str">
        <f t="shared" si="0"/>
        <v>Feb-22</v>
      </c>
      <c r="N56" s="29" t="str">
        <f t="shared" si="1"/>
        <v>OK</v>
      </c>
      <c r="O56" s="29" t="str">
        <f t="shared" si="2"/>
        <v>Delayed</v>
      </c>
      <c r="P56" s="29" t="str">
        <f t="shared" si="3"/>
        <v>Average</v>
      </c>
      <c r="Q56" s="29" t="s">
        <v>86</v>
      </c>
      <c r="R56" s="29" t="s">
        <v>30</v>
      </c>
    </row>
    <row r="57" spans="1:18">
      <c r="A57" s="29">
        <v>10056</v>
      </c>
      <c r="B57" s="30">
        <v>44617</v>
      </c>
      <c r="C57" s="29">
        <v>1831</v>
      </c>
      <c r="D57" s="29" t="s">
        <v>15</v>
      </c>
      <c r="E57" s="29" t="s">
        <v>20</v>
      </c>
      <c r="F57" s="29">
        <v>1</v>
      </c>
      <c r="G57" s="31">
        <v>491.78</v>
      </c>
      <c r="H57" s="32">
        <v>0.02</v>
      </c>
      <c r="I57" s="31" t="s">
        <v>16</v>
      </c>
      <c r="J57" s="29">
        <v>6</v>
      </c>
      <c r="K57" s="33">
        <v>1.8</v>
      </c>
      <c r="L57" s="31">
        <v>481.94</v>
      </c>
      <c r="M57" s="29" t="str">
        <f t="shared" si="0"/>
        <v>Feb-22</v>
      </c>
      <c r="N57" s="29" t="str">
        <f t="shared" si="1"/>
        <v>OK</v>
      </c>
      <c r="O57" s="29" t="str">
        <f t="shared" si="2"/>
        <v>Standard</v>
      </c>
      <c r="P57" s="29" t="str">
        <f t="shared" si="3"/>
        <v>Low</v>
      </c>
      <c r="Q57" s="29" t="s">
        <v>87</v>
      </c>
      <c r="R57" s="29" t="s">
        <v>32</v>
      </c>
    </row>
    <row r="58" spans="1:18">
      <c r="A58" s="29">
        <v>10057</v>
      </c>
      <c r="B58" s="30">
        <v>44618</v>
      </c>
      <c r="C58" s="29">
        <v>1504</v>
      </c>
      <c r="D58" s="29" t="s">
        <v>12</v>
      </c>
      <c r="E58" s="29" t="s">
        <v>17</v>
      </c>
      <c r="F58" s="29">
        <v>2</v>
      </c>
      <c r="G58" s="31">
        <v>204.07</v>
      </c>
      <c r="H58" s="32">
        <v>0.26</v>
      </c>
      <c r="I58" s="31" t="s">
        <v>18</v>
      </c>
      <c r="J58" s="29">
        <v>8</v>
      </c>
      <c r="K58" s="33">
        <v>1</v>
      </c>
      <c r="L58" s="31">
        <v>302.02</v>
      </c>
      <c r="M58" s="29" t="str">
        <f t="shared" si="0"/>
        <v>Feb-22</v>
      </c>
      <c r="N58" s="29" t="str">
        <f t="shared" si="1"/>
        <v>OK</v>
      </c>
      <c r="O58" s="29" t="str">
        <f t="shared" si="2"/>
        <v>Delayed</v>
      </c>
      <c r="P58" s="29" t="str">
        <f t="shared" si="3"/>
        <v>Low</v>
      </c>
      <c r="Q58" s="29" t="s">
        <v>88</v>
      </c>
      <c r="R58" s="29" t="s">
        <v>30</v>
      </c>
    </row>
    <row r="59" spans="1:18">
      <c r="A59" s="29">
        <v>10058</v>
      </c>
      <c r="B59" s="30">
        <v>44619</v>
      </c>
      <c r="C59" s="29">
        <v>1130</v>
      </c>
      <c r="D59" s="29" t="s">
        <v>19</v>
      </c>
      <c r="E59" s="29" t="s">
        <v>13</v>
      </c>
      <c r="F59" s="29">
        <v>4</v>
      </c>
      <c r="G59" s="31">
        <v>589.62</v>
      </c>
      <c r="H59" s="32">
        <v>0.19</v>
      </c>
      <c r="I59" s="31" t="s">
        <v>18</v>
      </c>
      <c r="J59" s="29">
        <v>9</v>
      </c>
      <c r="K59" s="33">
        <v>4</v>
      </c>
      <c r="L59" s="31">
        <v>1910.37</v>
      </c>
      <c r="M59" s="29" t="str">
        <f t="shared" si="0"/>
        <v>Feb-22</v>
      </c>
      <c r="N59" s="29" t="str">
        <f t="shared" si="1"/>
        <v>OK</v>
      </c>
      <c r="O59" s="29" t="str">
        <f t="shared" si="2"/>
        <v>Delayed</v>
      </c>
      <c r="P59" s="29" t="str">
        <f t="shared" si="3"/>
        <v>Good</v>
      </c>
      <c r="Q59" s="29" t="s">
        <v>52</v>
      </c>
      <c r="R59" s="29" t="s">
        <v>35</v>
      </c>
    </row>
    <row r="60" spans="1:18">
      <c r="A60" s="29">
        <v>10059</v>
      </c>
      <c r="B60" s="30">
        <v>44620</v>
      </c>
      <c r="C60" s="29">
        <v>1484</v>
      </c>
      <c r="D60" s="29" t="s">
        <v>22</v>
      </c>
      <c r="E60" s="29" t="s">
        <v>21</v>
      </c>
      <c r="F60" s="29">
        <v>7</v>
      </c>
      <c r="G60" s="31">
        <v>429.54</v>
      </c>
      <c r="H60" s="32">
        <v>0.07</v>
      </c>
      <c r="I60" s="31" t="s">
        <v>14</v>
      </c>
      <c r="J60" s="29">
        <v>9</v>
      </c>
      <c r="K60" s="33">
        <v>1.6</v>
      </c>
      <c r="L60" s="31">
        <v>2796.31</v>
      </c>
      <c r="M60" s="29" t="str">
        <f t="shared" si="0"/>
        <v>Feb-22</v>
      </c>
      <c r="N60" s="29" t="str">
        <f t="shared" si="1"/>
        <v>OK</v>
      </c>
      <c r="O60" s="29" t="str">
        <f t="shared" si="2"/>
        <v>Delayed</v>
      </c>
      <c r="P60" s="29" t="str">
        <f t="shared" si="3"/>
        <v>Low</v>
      </c>
      <c r="Q60" s="29" t="s">
        <v>89</v>
      </c>
      <c r="R60" s="29" t="s">
        <v>51</v>
      </c>
    </row>
    <row r="61" spans="1:18">
      <c r="A61" s="29">
        <v>10060</v>
      </c>
      <c r="B61" s="30">
        <v>44621</v>
      </c>
      <c r="C61" s="29">
        <v>1818</v>
      </c>
      <c r="D61" s="29" t="s">
        <v>15</v>
      </c>
      <c r="E61" s="29" t="s">
        <v>13</v>
      </c>
      <c r="F61" s="29">
        <v>2</v>
      </c>
      <c r="G61" s="31">
        <v>51.53</v>
      </c>
      <c r="H61" s="32">
        <v>0.19</v>
      </c>
      <c r="I61" s="31" t="s">
        <v>14</v>
      </c>
      <c r="J61" s="29">
        <v>11</v>
      </c>
      <c r="K61" s="33">
        <v>4.8</v>
      </c>
      <c r="L61" s="31">
        <v>83.48</v>
      </c>
      <c r="M61" s="29" t="str">
        <f t="shared" si="0"/>
        <v>Mar-22</v>
      </c>
      <c r="N61" s="29" t="str">
        <f t="shared" si="1"/>
        <v>OK</v>
      </c>
      <c r="O61" s="29" t="str">
        <f t="shared" si="2"/>
        <v>Delayed</v>
      </c>
      <c r="P61" s="29" t="str">
        <f t="shared" si="3"/>
        <v>Excellent</v>
      </c>
      <c r="Q61" s="29" t="s">
        <v>90</v>
      </c>
      <c r="R61" s="29" t="s">
        <v>32</v>
      </c>
    </row>
    <row r="62" spans="1:18">
      <c r="A62" s="29">
        <v>10061</v>
      </c>
      <c r="B62" s="30">
        <v>44622</v>
      </c>
      <c r="C62" s="29">
        <v>1646</v>
      </c>
      <c r="D62" s="29" t="s">
        <v>15</v>
      </c>
      <c r="E62" s="29" t="s">
        <v>21</v>
      </c>
      <c r="F62" s="29">
        <v>5</v>
      </c>
      <c r="G62" s="31">
        <v>35.57</v>
      </c>
      <c r="H62" s="32">
        <v>0.06</v>
      </c>
      <c r="I62" s="31" t="s">
        <v>16</v>
      </c>
      <c r="J62" s="29">
        <v>6</v>
      </c>
      <c r="K62" s="33">
        <v>3.4</v>
      </c>
      <c r="L62" s="31">
        <v>167.18</v>
      </c>
      <c r="M62" s="29" t="str">
        <f t="shared" si="0"/>
        <v>Mar-22</v>
      </c>
      <c r="N62" s="29" t="str">
        <f t="shared" si="1"/>
        <v>OK</v>
      </c>
      <c r="O62" s="29" t="str">
        <f t="shared" si="2"/>
        <v>Standard</v>
      </c>
      <c r="P62" s="29" t="str">
        <f t="shared" si="3"/>
        <v>Average</v>
      </c>
      <c r="Q62" s="29" t="s">
        <v>91</v>
      </c>
      <c r="R62" s="29" t="s">
        <v>32</v>
      </c>
    </row>
    <row r="63" spans="1:18">
      <c r="A63" s="29">
        <v>10062</v>
      </c>
      <c r="B63" s="30">
        <v>44623</v>
      </c>
      <c r="C63" s="29">
        <v>1020</v>
      </c>
      <c r="D63" s="29" t="s">
        <v>15</v>
      </c>
      <c r="E63" s="29" t="s">
        <v>17</v>
      </c>
      <c r="F63" s="29">
        <v>7</v>
      </c>
      <c r="G63" s="31">
        <v>113.52</v>
      </c>
      <c r="H63" s="32">
        <v>0.15</v>
      </c>
      <c r="I63" s="31" t="s">
        <v>18</v>
      </c>
      <c r="J63" s="29">
        <v>8</v>
      </c>
      <c r="K63" s="33">
        <v>1.3</v>
      </c>
      <c r="L63" s="31">
        <v>675.44</v>
      </c>
      <c r="M63" s="29" t="str">
        <f t="shared" si="0"/>
        <v>Mar-22</v>
      </c>
      <c r="N63" s="29" t="str">
        <f t="shared" si="1"/>
        <v>OK</v>
      </c>
      <c r="O63" s="29" t="str">
        <f t="shared" si="2"/>
        <v>Delayed</v>
      </c>
      <c r="P63" s="29" t="str">
        <f t="shared" si="3"/>
        <v>Low</v>
      </c>
      <c r="Q63" s="29" t="s">
        <v>39</v>
      </c>
      <c r="R63" s="29" t="s">
        <v>32</v>
      </c>
    </row>
    <row r="64" spans="1:18">
      <c r="A64" s="29">
        <v>10063</v>
      </c>
      <c r="B64" s="30">
        <v>44624</v>
      </c>
      <c r="C64" s="29">
        <v>1840</v>
      </c>
      <c r="D64" s="29" t="s">
        <v>22</v>
      </c>
      <c r="E64" s="29" t="s">
        <v>20</v>
      </c>
      <c r="F64" s="29">
        <v>1</v>
      </c>
      <c r="G64" s="31">
        <v>440.8</v>
      </c>
      <c r="H64" s="32">
        <v>0.28</v>
      </c>
      <c r="I64" s="31" t="s">
        <v>18</v>
      </c>
      <c r="J64" s="29">
        <v>2</v>
      </c>
      <c r="K64" s="33">
        <v>1.9</v>
      </c>
      <c r="L64" s="31">
        <v>317.38</v>
      </c>
      <c r="M64" s="29" t="str">
        <f t="shared" si="0"/>
        <v>Mar-22</v>
      </c>
      <c r="N64" s="29" t="str">
        <f t="shared" si="1"/>
        <v>OK</v>
      </c>
      <c r="O64" s="29" t="str">
        <f t="shared" si="2"/>
        <v>Fast</v>
      </c>
      <c r="P64" s="29" t="str">
        <f t="shared" si="3"/>
        <v>Low</v>
      </c>
      <c r="Q64" s="29" t="s">
        <v>92</v>
      </c>
      <c r="R64" s="29" t="s">
        <v>51</v>
      </c>
    </row>
    <row r="65" spans="1:18">
      <c r="A65" s="29">
        <v>10064</v>
      </c>
      <c r="B65" s="30">
        <v>44625</v>
      </c>
      <c r="C65" s="29">
        <v>1166</v>
      </c>
      <c r="D65" s="29" t="s">
        <v>19</v>
      </c>
      <c r="E65" s="29" t="s">
        <v>17</v>
      </c>
      <c r="F65" s="29">
        <v>6</v>
      </c>
      <c r="G65" s="31">
        <v>122.49</v>
      </c>
      <c r="H65" s="32">
        <v>0.16</v>
      </c>
      <c r="I65" s="31" t="s">
        <v>18</v>
      </c>
      <c r="J65" s="29">
        <v>8</v>
      </c>
      <c r="K65" s="33">
        <v>3.4</v>
      </c>
      <c r="L65" s="31">
        <v>617.35</v>
      </c>
      <c r="M65" s="29" t="str">
        <f t="shared" si="0"/>
        <v>Mar-22</v>
      </c>
      <c r="N65" s="29" t="str">
        <f t="shared" si="1"/>
        <v>OK</v>
      </c>
      <c r="O65" s="29" t="str">
        <f t="shared" si="2"/>
        <v>Delayed</v>
      </c>
      <c r="P65" s="29" t="str">
        <f t="shared" si="3"/>
        <v>Average</v>
      </c>
      <c r="Q65" s="29" t="s">
        <v>93</v>
      </c>
      <c r="R65" s="29" t="s">
        <v>35</v>
      </c>
    </row>
    <row r="66" spans="1:18">
      <c r="A66" s="29">
        <v>10065</v>
      </c>
      <c r="B66" s="30">
        <v>44626</v>
      </c>
      <c r="C66" s="29">
        <v>1273</v>
      </c>
      <c r="D66" s="29" t="s">
        <v>19</v>
      </c>
      <c r="E66" s="29" t="s">
        <v>13</v>
      </c>
      <c r="F66" s="29">
        <v>6</v>
      </c>
      <c r="G66" s="31">
        <v>314.22</v>
      </c>
      <c r="H66" s="32">
        <v>0.05</v>
      </c>
      <c r="I66" s="31" t="s">
        <v>14</v>
      </c>
      <c r="J66" s="29">
        <v>3</v>
      </c>
      <c r="K66" s="33">
        <v>2.4</v>
      </c>
      <c r="L66" s="31">
        <v>1791.05</v>
      </c>
      <c r="M66" s="29" t="str">
        <f t="shared" ref="M66:M129" si="4">TEXT(B66,"mmm-yy")</f>
        <v>Mar-22</v>
      </c>
      <c r="N66" s="29" t="str">
        <f t="shared" ref="N66:N129" si="5">IF(ROUND(L66,2)=ROUND(F66*G66*(1-H66),2),"OK","Check")</f>
        <v>OK</v>
      </c>
      <c r="O66" s="29" t="str">
        <f t="shared" ref="O66:O129" si="6">IF(J66&lt;=3,"Fast",IF(J66&lt;=7,"Standard","Delayed"))</f>
        <v>Fast</v>
      </c>
      <c r="P66" s="29" t="str">
        <f t="shared" ref="P66:P129" si="7">IF(K66&gt;=4.5,"Excellent",IF(K66&gt;=3.5,"Good",IF(K66&gt;=2.5,"Average","Low")))</f>
        <v>Low</v>
      </c>
      <c r="Q66" s="29" t="s">
        <v>94</v>
      </c>
      <c r="R66" s="29" t="s">
        <v>35</v>
      </c>
    </row>
    <row r="67" spans="1:18">
      <c r="A67" s="29">
        <v>10066</v>
      </c>
      <c r="B67" s="30">
        <v>44627</v>
      </c>
      <c r="C67" s="29">
        <v>1387</v>
      </c>
      <c r="D67" s="29" t="s">
        <v>22</v>
      </c>
      <c r="E67" s="29" t="s">
        <v>13</v>
      </c>
      <c r="F67" s="29">
        <v>4</v>
      </c>
      <c r="G67" s="31">
        <v>69.56</v>
      </c>
      <c r="H67" s="32">
        <v>0.25</v>
      </c>
      <c r="I67" s="31" t="s">
        <v>14</v>
      </c>
      <c r="J67" s="29">
        <v>1</v>
      </c>
      <c r="K67" s="33">
        <v>3.1</v>
      </c>
      <c r="L67" s="31">
        <v>208.68</v>
      </c>
      <c r="M67" s="29" t="str">
        <f t="shared" si="4"/>
        <v>Mar-22</v>
      </c>
      <c r="N67" s="29" t="str">
        <f t="shared" si="5"/>
        <v>OK</v>
      </c>
      <c r="O67" s="29" t="str">
        <f t="shared" si="6"/>
        <v>Fast</v>
      </c>
      <c r="P67" s="29" t="str">
        <f t="shared" si="7"/>
        <v>Average</v>
      </c>
      <c r="Q67" s="29" t="s">
        <v>95</v>
      </c>
      <c r="R67" s="29" t="s">
        <v>51</v>
      </c>
    </row>
    <row r="68" spans="1:18">
      <c r="A68" s="29">
        <v>10067</v>
      </c>
      <c r="B68" s="30">
        <v>44628</v>
      </c>
      <c r="C68" s="29">
        <v>1600</v>
      </c>
      <c r="D68" s="29" t="s">
        <v>22</v>
      </c>
      <c r="E68" s="29" t="s">
        <v>21</v>
      </c>
      <c r="F68" s="29">
        <v>6</v>
      </c>
      <c r="G68" s="31">
        <v>553.72</v>
      </c>
      <c r="H68" s="32">
        <v>0.07</v>
      </c>
      <c r="I68" s="31" t="s">
        <v>16</v>
      </c>
      <c r="J68" s="29">
        <v>7</v>
      </c>
      <c r="K68" s="33">
        <v>4.2</v>
      </c>
      <c r="L68" s="31">
        <v>3089.76</v>
      </c>
      <c r="M68" s="29" t="str">
        <f t="shared" si="4"/>
        <v>Mar-22</v>
      </c>
      <c r="N68" s="29" t="str">
        <f t="shared" si="5"/>
        <v>OK</v>
      </c>
      <c r="O68" s="29" t="str">
        <f t="shared" si="6"/>
        <v>Standard</v>
      </c>
      <c r="P68" s="29" t="str">
        <f t="shared" si="7"/>
        <v>Good</v>
      </c>
      <c r="Q68" s="29" t="s">
        <v>96</v>
      </c>
      <c r="R68" s="29" t="s">
        <v>51</v>
      </c>
    </row>
    <row r="69" spans="1:18">
      <c r="A69" s="29">
        <v>10068</v>
      </c>
      <c r="B69" s="30">
        <v>44629</v>
      </c>
      <c r="C69" s="29">
        <v>1315</v>
      </c>
      <c r="D69" s="29" t="s">
        <v>12</v>
      </c>
      <c r="E69" s="29" t="s">
        <v>17</v>
      </c>
      <c r="F69" s="29">
        <v>7</v>
      </c>
      <c r="G69" s="31">
        <v>216.22</v>
      </c>
      <c r="H69" s="32">
        <v>0.26</v>
      </c>
      <c r="I69" s="31" t="s">
        <v>16</v>
      </c>
      <c r="J69" s="29">
        <v>1</v>
      </c>
      <c r="K69" s="33">
        <v>4.2</v>
      </c>
      <c r="L69" s="31">
        <v>1120.02</v>
      </c>
      <c r="M69" s="29" t="str">
        <f t="shared" si="4"/>
        <v>Mar-22</v>
      </c>
      <c r="N69" s="29" t="str">
        <f t="shared" si="5"/>
        <v>OK</v>
      </c>
      <c r="O69" s="29" t="str">
        <f t="shared" si="6"/>
        <v>Fast</v>
      </c>
      <c r="P69" s="29" t="str">
        <f t="shared" si="7"/>
        <v>Good</v>
      </c>
      <c r="Q69" s="29" t="s">
        <v>97</v>
      </c>
      <c r="R69" s="29" t="s">
        <v>30</v>
      </c>
    </row>
    <row r="70" spans="1:18">
      <c r="A70" s="29">
        <v>10069</v>
      </c>
      <c r="B70" s="30">
        <v>44630</v>
      </c>
      <c r="C70" s="29">
        <v>1013</v>
      </c>
      <c r="D70" s="29" t="s">
        <v>22</v>
      </c>
      <c r="E70" s="29" t="s">
        <v>21</v>
      </c>
      <c r="F70" s="29">
        <v>4</v>
      </c>
      <c r="G70" s="31">
        <v>546.26</v>
      </c>
      <c r="H70" s="32">
        <v>0.17</v>
      </c>
      <c r="I70" s="31" t="s">
        <v>18</v>
      </c>
      <c r="J70" s="29">
        <v>11</v>
      </c>
      <c r="K70" s="33">
        <v>3.8</v>
      </c>
      <c r="L70" s="31">
        <v>1813.58</v>
      </c>
      <c r="M70" s="29" t="str">
        <f t="shared" si="4"/>
        <v>Mar-22</v>
      </c>
      <c r="N70" s="29" t="str">
        <f t="shared" si="5"/>
        <v>OK</v>
      </c>
      <c r="O70" s="29" t="str">
        <f t="shared" si="6"/>
        <v>Delayed</v>
      </c>
      <c r="P70" s="29" t="str">
        <f t="shared" si="7"/>
        <v>Good</v>
      </c>
      <c r="Q70" s="29" t="s">
        <v>98</v>
      </c>
      <c r="R70" s="29" t="s">
        <v>51</v>
      </c>
    </row>
    <row r="71" spans="1:18">
      <c r="A71" s="29">
        <v>10070</v>
      </c>
      <c r="B71" s="30">
        <v>44631</v>
      </c>
      <c r="C71" s="29">
        <v>1241</v>
      </c>
      <c r="D71" s="29" t="s">
        <v>12</v>
      </c>
      <c r="E71" s="29" t="s">
        <v>17</v>
      </c>
      <c r="F71" s="29">
        <v>7</v>
      </c>
      <c r="G71" s="31">
        <v>567.75</v>
      </c>
      <c r="H71" s="32">
        <v>0.16</v>
      </c>
      <c r="I71" s="31" t="s">
        <v>16</v>
      </c>
      <c r="J71" s="29">
        <v>1</v>
      </c>
      <c r="K71" s="33">
        <v>4.5</v>
      </c>
      <c r="L71" s="31">
        <v>3338.37</v>
      </c>
      <c r="M71" s="29" t="str">
        <f t="shared" si="4"/>
        <v>Mar-22</v>
      </c>
      <c r="N71" s="29" t="str">
        <f t="shared" si="5"/>
        <v>OK</v>
      </c>
      <c r="O71" s="29" t="str">
        <f t="shared" si="6"/>
        <v>Fast</v>
      </c>
      <c r="P71" s="29" t="str">
        <f t="shared" si="7"/>
        <v>Excellent</v>
      </c>
      <c r="Q71" s="29" t="s">
        <v>99</v>
      </c>
      <c r="R71" s="29" t="s">
        <v>30</v>
      </c>
    </row>
    <row r="72" spans="1:18">
      <c r="A72" s="29">
        <v>10071</v>
      </c>
      <c r="B72" s="30">
        <v>44632</v>
      </c>
      <c r="C72" s="29">
        <v>1776</v>
      </c>
      <c r="D72" s="29" t="s">
        <v>22</v>
      </c>
      <c r="E72" s="29" t="s">
        <v>13</v>
      </c>
      <c r="F72" s="29">
        <v>1</v>
      </c>
      <c r="G72" s="31">
        <v>18.59</v>
      </c>
      <c r="H72" s="32">
        <v>0.3</v>
      </c>
      <c r="I72" s="31" t="s">
        <v>16</v>
      </c>
      <c r="J72" s="29">
        <v>1</v>
      </c>
      <c r="K72" s="33">
        <v>1.8</v>
      </c>
      <c r="L72" s="31">
        <v>13.01</v>
      </c>
      <c r="M72" s="29" t="str">
        <f t="shared" si="4"/>
        <v>Mar-22</v>
      </c>
      <c r="N72" s="29" t="str">
        <f t="shared" si="5"/>
        <v>OK</v>
      </c>
      <c r="O72" s="29" t="str">
        <f t="shared" si="6"/>
        <v>Fast</v>
      </c>
      <c r="P72" s="29" t="str">
        <f t="shared" si="7"/>
        <v>Low</v>
      </c>
      <c r="Q72" s="29" t="s">
        <v>100</v>
      </c>
      <c r="R72" s="29" t="s">
        <v>51</v>
      </c>
    </row>
    <row r="73" spans="1:18">
      <c r="A73" s="29">
        <v>10072</v>
      </c>
      <c r="B73" s="30">
        <v>44633</v>
      </c>
      <c r="C73" s="29">
        <v>1345</v>
      </c>
      <c r="D73" s="29" t="s">
        <v>19</v>
      </c>
      <c r="E73" s="29" t="s">
        <v>21</v>
      </c>
      <c r="F73" s="29">
        <v>3</v>
      </c>
      <c r="G73" s="31">
        <v>286.52</v>
      </c>
      <c r="H73" s="32">
        <v>0.25</v>
      </c>
      <c r="I73" s="31" t="s">
        <v>16</v>
      </c>
      <c r="J73" s="29">
        <v>4</v>
      </c>
      <c r="K73" s="33">
        <v>1.7</v>
      </c>
      <c r="L73" s="31">
        <v>644.67</v>
      </c>
      <c r="M73" s="29" t="str">
        <f t="shared" si="4"/>
        <v>Mar-22</v>
      </c>
      <c r="N73" s="29" t="str">
        <f t="shared" si="5"/>
        <v>OK</v>
      </c>
      <c r="O73" s="29" t="str">
        <f t="shared" si="6"/>
        <v>Standard</v>
      </c>
      <c r="P73" s="29" t="str">
        <f t="shared" si="7"/>
        <v>Low</v>
      </c>
      <c r="Q73" s="29" t="s">
        <v>101</v>
      </c>
      <c r="R73" s="29" t="s">
        <v>35</v>
      </c>
    </row>
    <row r="74" spans="1:18">
      <c r="A74" s="29">
        <v>10073</v>
      </c>
      <c r="B74" s="30">
        <v>44634</v>
      </c>
      <c r="C74" s="29">
        <v>1564</v>
      </c>
      <c r="D74" s="29" t="s">
        <v>19</v>
      </c>
      <c r="E74" s="29" t="s">
        <v>21</v>
      </c>
      <c r="F74" s="29">
        <v>3</v>
      </c>
      <c r="G74" s="31">
        <v>29.42</v>
      </c>
      <c r="H74" s="32">
        <v>0.01</v>
      </c>
      <c r="I74" s="31" t="s">
        <v>14</v>
      </c>
      <c r="J74" s="29">
        <v>4</v>
      </c>
      <c r="K74" s="33">
        <v>4.2</v>
      </c>
      <c r="L74" s="31">
        <v>87.38</v>
      </c>
      <c r="M74" s="29" t="str">
        <f t="shared" si="4"/>
        <v>Mar-22</v>
      </c>
      <c r="N74" s="29" t="str">
        <f t="shared" si="5"/>
        <v>OK</v>
      </c>
      <c r="O74" s="29" t="str">
        <f t="shared" si="6"/>
        <v>Standard</v>
      </c>
      <c r="P74" s="29" t="str">
        <f t="shared" si="7"/>
        <v>Good</v>
      </c>
      <c r="Q74" s="29" t="s">
        <v>102</v>
      </c>
      <c r="R74" s="29" t="s">
        <v>35</v>
      </c>
    </row>
    <row r="75" spans="1:18">
      <c r="A75" s="29">
        <v>10074</v>
      </c>
      <c r="B75" s="30">
        <v>44635</v>
      </c>
      <c r="C75" s="29">
        <v>1897</v>
      </c>
      <c r="D75" s="29" t="s">
        <v>22</v>
      </c>
      <c r="E75" s="29" t="s">
        <v>17</v>
      </c>
      <c r="F75" s="29">
        <v>2</v>
      </c>
      <c r="G75" s="31">
        <v>546.59</v>
      </c>
      <c r="H75" s="32">
        <v>0.1</v>
      </c>
      <c r="I75" s="31" t="s">
        <v>16</v>
      </c>
      <c r="J75" s="29">
        <v>10</v>
      </c>
      <c r="K75" s="33">
        <v>2.3</v>
      </c>
      <c r="L75" s="31">
        <v>983.86</v>
      </c>
      <c r="M75" s="29" t="str">
        <f t="shared" si="4"/>
        <v>Mar-22</v>
      </c>
      <c r="N75" s="29" t="str">
        <f t="shared" si="5"/>
        <v>OK</v>
      </c>
      <c r="O75" s="29" t="str">
        <f t="shared" si="6"/>
        <v>Delayed</v>
      </c>
      <c r="P75" s="29" t="str">
        <f t="shared" si="7"/>
        <v>Low</v>
      </c>
      <c r="Q75" s="29" t="s">
        <v>103</v>
      </c>
      <c r="R75" s="29" t="s">
        <v>51</v>
      </c>
    </row>
    <row r="76" spans="1:18">
      <c r="A76" s="29">
        <v>10075</v>
      </c>
      <c r="B76" s="30">
        <v>44636</v>
      </c>
      <c r="C76" s="29">
        <v>1339</v>
      </c>
      <c r="D76" s="29" t="s">
        <v>15</v>
      </c>
      <c r="E76" s="29" t="s">
        <v>20</v>
      </c>
      <c r="F76" s="29">
        <v>1</v>
      </c>
      <c r="G76" s="31">
        <v>318.27</v>
      </c>
      <c r="H76" s="32">
        <v>0.3</v>
      </c>
      <c r="I76" s="31" t="s">
        <v>18</v>
      </c>
      <c r="J76" s="29">
        <v>11</v>
      </c>
      <c r="K76" s="33">
        <v>3</v>
      </c>
      <c r="L76" s="31">
        <v>222.79</v>
      </c>
      <c r="M76" s="29" t="str">
        <f t="shared" si="4"/>
        <v>Mar-22</v>
      </c>
      <c r="N76" s="29" t="str">
        <f t="shared" si="5"/>
        <v>OK</v>
      </c>
      <c r="O76" s="29" t="str">
        <f t="shared" si="6"/>
        <v>Delayed</v>
      </c>
      <c r="P76" s="29" t="str">
        <f t="shared" si="7"/>
        <v>Average</v>
      </c>
      <c r="Q76" s="29" t="s">
        <v>104</v>
      </c>
      <c r="R76" s="29" t="s">
        <v>32</v>
      </c>
    </row>
    <row r="77" spans="1:18">
      <c r="A77" s="29">
        <v>10076</v>
      </c>
      <c r="B77" s="30">
        <v>44637</v>
      </c>
      <c r="C77" s="29">
        <v>1091</v>
      </c>
      <c r="D77" s="29" t="s">
        <v>19</v>
      </c>
      <c r="E77" s="29" t="s">
        <v>17</v>
      </c>
      <c r="F77" s="29">
        <v>6</v>
      </c>
      <c r="G77" s="31">
        <v>58.84</v>
      </c>
      <c r="H77" s="32">
        <v>0.01</v>
      </c>
      <c r="I77" s="31" t="s">
        <v>16</v>
      </c>
      <c r="J77" s="29">
        <v>6</v>
      </c>
      <c r="K77" s="33">
        <v>4</v>
      </c>
      <c r="L77" s="31">
        <v>349.51</v>
      </c>
      <c r="M77" s="29" t="str">
        <f t="shared" si="4"/>
        <v>Mar-22</v>
      </c>
      <c r="N77" s="29" t="str">
        <f t="shared" si="5"/>
        <v>OK</v>
      </c>
      <c r="O77" s="29" t="str">
        <f t="shared" si="6"/>
        <v>Standard</v>
      </c>
      <c r="P77" s="29" t="str">
        <f t="shared" si="7"/>
        <v>Good</v>
      </c>
      <c r="Q77" s="29" t="s">
        <v>105</v>
      </c>
      <c r="R77" s="29" t="s">
        <v>35</v>
      </c>
    </row>
    <row r="78" spans="1:18">
      <c r="A78" s="29">
        <v>10077</v>
      </c>
      <c r="B78" s="30">
        <v>44638</v>
      </c>
      <c r="C78" s="29">
        <v>1366</v>
      </c>
      <c r="D78" s="29" t="s">
        <v>15</v>
      </c>
      <c r="E78" s="29" t="s">
        <v>20</v>
      </c>
      <c r="F78" s="29">
        <v>1</v>
      </c>
      <c r="G78" s="31">
        <v>79.51</v>
      </c>
      <c r="H78" s="32">
        <v>0.19</v>
      </c>
      <c r="I78" s="31" t="s">
        <v>16</v>
      </c>
      <c r="J78" s="29">
        <v>10</v>
      </c>
      <c r="K78" s="33">
        <v>2.6</v>
      </c>
      <c r="L78" s="31">
        <v>64.4</v>
      </c>
      <c r="M78" s="29" t="str">
        <f t="shared" si="4"/>
        <v>Mar-22</v>
      </c>
      <c r="N78" s="29" t="str">
        <f t="shared" si="5"/>
        <v>OK</v>
      </c>
      <c r="O78" s="29" t="str">
        <f t="shared" si="6"/>
        <v>Delayed</v>
      </c>
      <c r="P78" s="29" t="str">
        <f t="shared" si="7"/>
        <v>Average</v>
      </c>
      <c r="Q78" s="29" t="s">
        <v>106</v>
      </c>
      <c r="R78" s="29" t="s">
        <v>32</v>
      </c>
    </row>
    <row r="79" spans="1:18">
      <c r="A79" s="29">
        <v>10078</v>
      </c>
      <c r="B79" s="30">
        <v>44639</v>
      </c>
      <c r="C79" s="29">
        <v>1955</v>
      </c>
      <c r="D79" s="29" t="s">
        <v>12</v>
      </c>
      <c r="E79" s="29" t="s">
        <v>17</v>
      </c>
      <c r="F79" s="29">
        <v>5</v>
      </c>
      <c r="G79" s="31">
        <v>239.35</v>
      </c>
      <c r="H79" s="32">
        <v>0.25</v>
      </c>
      <c r="I79" s="31" t="s">
        <v>16</v>
      </c>
      <c r="J79" s="29">
        <v>3</v>
      </c>
      <c r="K79" s="33">
        <v>1.5</v>
      </c>
      <c r="L79" s="31">
        <v>897.56</v>
      </c>
      <c r="M79" s="29" t="str">
        <f t="shared" si="4"/>
        <v>Mar-22</v>
      </c>
      <c r="N79" s="29" t="str">
        <f t="shared" si="5"/>
        <v>OK</v>
      </c>
      <c r="O79" s="29" t="str">
        <f t="shared" si="6"/>
        <v>Fast</v>
      </c>
      <c r="P79" s="29" t="str">
        <f t="shared" si="7"/>
        <v>Low</v>
      </c>
      <c r="Q79" s="29" t="s">
        <v>62</v>
      </c>
      <c r="R79" s="29" t="s">
        <v>30</v>
      </c>
    </row>
    <row r="80" spans="1:18">
      <c r="A80" s="29">
        <v>10079</v>
      </c>
      <c r="B80" s="30">
        <v>44640</v>
      </c>
      <c r="C80" s="29">
        <v>1454</v>
      </c>
      <c r="D80" s="29" t="s">
        <v>15</v>
      </c>
      <c r="E80" s="29" t="s">
        <v>13</v>
      </c>
      <c r="F80" s="29">
        <v>3</v>
      </c>
      <c r="G80" s="31">
        <v>565.04</v>
      </c>
      <c r="H80" s="32">
        <v>0.22</v>
      </c>
      <c r="I80" s="31" t="s">
        <v>16</v>
      </c>
      <c r="J80" s="29">
        <v>10</v>
      </c>
      <c r="K80" s="33">
        <v>3.7</v>
      </c>
      <c r="L80" s="31">
        <v>1322.19</v>
      </c>
      <c r="M80" s="29" t="str">
        <f t="shared" si="4"/>
        <v>Mar-22</v>
      </c>
      <c r="N80" s="29" t="str">
        <f t="shared" si="5"/>
        <v>OK</v>
      </c>
      <c r="O80" s="29" t="str">
        <f t="shared" si="6"/>
        <v>Delayed</v>
      </c>
      <c r="P80" s="29" t="str">
        <f t="shared" si="7"/>
        <v>Good</v>
      </c>
      <c r="Q80" s="29" t="s">
        <v>107</v>
      </c>
      <c r="R80" s="29" t="s">
        <v>32</v>
      </c>
    </row>
    <row r="81" spans="1:18">
      <c r="A81" s="29">
        <v>10080</v>
      </c>
      <c r="B81" s="30">
        <v>44641</v>
      </c>
      <c r="C81" s="29">
        <v>1427</v>
      </c>
      <c r="D81" s="29" t="s">
        <v>15</v>
      </c>
      <c r="E81" s="29" t="s">
        <v>21</v>
      </c>
      <c r="F81" s="29">
        <v>6</v>
      </c>
      <c r="G81" s="31">
        <v>420.35</v>
      </c>
      <c r="H81" s="32">
        <v>0.27</v>
      </c>
      <c r="I81" s="31" t="s">
        <v>14</v>
      </c>
      <c r="J81" s="29">
        <v>6</v>
      </c>
      <c r="K81" s="33">
        <v>4.3</v>
      </c>
      <c r="L81" s="31">
        <v>1841.13</v>
      </c>
      <c r="M81" s="29" t="str">
        <f t="shared" si="4"/>
        <v>Mar-22</v>
      </c>
      <c r="N81" s="29" t="str">
        <f t="shared" si="5"/>
        <v>OK</v>
      </c>
      <c r="O81" s="29" t="str">
        <f t="shared" si="6"/>
        <v>Standard</v>
      </c>
      <c r="P81" s="29" t="str">
        <f t="shared" si="7"/>
        <v>Good</v>
      </c>
      <c r="Q81" s="29" t="s">
        <v>108</v>
      </c>
      <c r="R81" s="29" t="s">
        <v>32</v>
      </c>
    </row>
    <row r="82" spans="1:18">
      <c r="A82" s="29">
        <v>10081</v>
      </c>
      <c r="B82" s="30">
        <v>44642</v>
      </c>
      <c r="C82" s="29">
        <v>1508</v>
      </c>
      <c r="D82" s="29" t="s">
        <v>15</v>
      </c>
      <c r="E82" s="29" t="s">
        <v>17</v>
      </c>
      <c r="F82" s="29">
        <v>7</v>
      </c>
      <c r="G82" s="31">
        <v>522.56</v>
      </c>
      <c r="H82" s="32">
        <v>0.25</v>
      </c>
      <c r="I82" s="31" t="s">
        <v>14</v>
      </c>
      <c r="J82" s="29">
        <v>7</v>
      </c>
      <c r="K82" s="33">
        <v>1.1</v>
      </c>
      <c r="L82" s="31">
        <v>2743.44</v>
      </c>
      <c r="M82" s="29" t="str">
        <f t="shared" si="4"/>
        <v>Mar-22</v>
      </c>
      <c r="N82" s="29" t="str">
        <f t="shared" si="5"/>
        <v>OK</v>
      </c>
      <c r="O82" s="29" t="str">
        <f t="shared" si="6"/>
        <v>Standard</v>
      </c>
      <c r="P82" s="29" t="str">
        <f t="shared" si="7"/>
        <v>Low</v>
      </c>
      <c r="Q82" s="29" t="s">
        <v>109</v>
      </c>
      <c r="R82" s="29" t="s">
        <v>32</v>
      </c>
    </row>
    <row r="83" spans="1:18">
      <c r="A83" s="29">
        <v>10082</v>
      </c>
      <c r="B83" s="30">
        <v>44643</v>
      </c>
      <c r="C83" s="29">
        <v>1775</v>
      </c>
      <c r="D83" s="29" t="s">
        <v>19</v>
      </c>
      <c r="E83" s="29" t="s">
        <v>13</v>
      </c>
      <c r="F83" s="29">
        <v>7</v>
      </c>
      <c r="G83" s="31">
        <v>229.38</v>
      </c>
      <c r="H83" s="32">
        <v>0.24</v>
      </c>
      <c r="I83" s="31" t="s">
        <v>18</v>
      </c>
      <c r="J83" s="29">
        <v>11</v>
      </c>
      <c r="K83" s="33">
        <v>3.3</v>
      </c>
      <c r="L83" s="31">
        <v>1220.3</v>
      </c>
      <c r="M83" s="29" t="str">
        <f t="shared" si="4"/>
        <v>Mar-22</v>
      </c>
      <c r="N83" s="29" t="str">
        <f t="shared" si="5"/>
        <v>OK</v>
      </c>
      <c r="O83" s="29" t="str">
        <f t="shared" si="6"/>
        <v>Delayed</v>
      </c>
      <c r="P83" s="29" t="str">
        <f t="shared" si="7"/>
        <v>Average</v>
      </c>
      <c r="Q83" s="29" t="s">
        <v>110</v>
      </c>
      <c r="R83" s="29" t="s">
        <v>35</v>
      </c>
    </row>
    <row r="84" spans="1:18">
      <c r="A84" s="29">
        <v>10083</v>
      </c>
      <c r="B84" s="30">
        <v>44644</v>
      </c>
      <c r="C84" s="29">
        <v>1942</v>
      </c>
      <c r="D84" s="29" t="s">
        <v>15</v>
      </c>
      <c r="E84" s="29" t="s">
        <v>17</v>
      </c>
      <c r="F84" s="29">
        <v>3</v>
      </c>
      <c r="G84" s="31">
        <v>40.28</v>
      </c>
      <c r="H84" s="32">
        <v>0.29</v>
      </c>
      <c r="I84" s="31" t="s">
        <v>16</v>
      </c>
      <c r="J84" s="29">
        <v>1</v>
      </c>
      <c r="K84" s="33">
        <v>2.9</v>
      </c>
      <c r="L84" s="31">
        <v>85.8</v>
      </c>
      <c r="M84" s="29" t="str">
        <f t="shared" si="4"/>
        <v>Mar-22</v>
      </c>
      <c r="N84" s="29" t="str">
        <f t="shared" si="5"/>
        <v>OK</v>
      </c>
      <c r="O84" s="29" t="str">
        <f t="shared" si="6"/>
        <v>Fast</v>
      </c>
      <c r="P84" s="29" t="str">
        <f t="shared" si="7"/>
        <v>Average</v>
      </c>
      <c r="Q84" s="29" t="s">
        <v>111</v>
      </c>
      <c r="R84" s="29" t="s">
        <v>32</v>
      </c>
    </row>
    <row r="85" spans="1:18">
      <c r="A85" s="29">
        <v>10084</v>
      </c>
      <c r="B85" s="30">
        <v>44645</v>
      </c>
      <c r="C85" s="29">
        <v>1034</v>
      </c>
      <c r="D85" s="29" t="s">
        <v>15</v>
      </c>
      <c r="E85" s="29" t="s">
        <v>21</v>
      </c>
      <c r="F85" s="29">
        <v>1</v>
      </c>
      <c r="G85" s="31">
        <v>584.98</v>
      </c>
      <c r="H85" s="32">
        <v>0.23</v>
      </c>
      <c r="I85" s="31" t="s">
        <v>18</v>
      </c>
      <c r="J85" s="29">
        <v>6</v>
      </c>
      <c r="K85" s="33">
        <v>2</v>
      </c>
      <c r="L85" s="31">
        <v>450.43</v>
      </c>
      <c r="M85" s="29" t="str">
        <f t="shared" si="4"/>
        <v>Mar-22</v>
      </c>
      <c r="N85" s="29" t="str">
        <f t="shared" si="5"/>
        <v>OK</v>
      </c>
      <c r="O85" s="29" t="str">
        <f t="shared" si="6"/>
        <v>Standard</v>
      </c>
      <c r="P85" s="29" t="str">
        <f t="shared" si="7"/>
        <v>Low</v>
      </c>
      <c r="Q85" s="29" t="s">
        <v>112</v>
      </c>
      <c r="R85" s="29" t="s">
        <v>32</v>
      </c>
    </row>
    <row r="86" spans="1:18">
      <c r="A86" s="29">
        <v>10085</v>
      </c>
      <c r="B86" s="30">
        <v>44646</v>
      </c>
      <c r="C86" s="29">
        <v>1205</v>
      </c>
      <c r="D86" s="29" t="s">
        <v>19</v>
      </c>
      <c r="E86" s="29" t="s">
        <v>17</v>
      </c>
      <c r="F86" s="29">
        <v>6</v>
      </c>
      <c r="G86" s="31">
        <v>25.05</v>
      </c>
      <c r="H86" s="32">
        <v>0.14</v>
      </c>
      <c r="I86" s="31" t="s">
        <v>16</v>
      </c>
      <c r="J86" s="29">
        <v>10</v>
      </c>
      <c r="K86" s="33">
        <v>1.6</v>
      </c>
      <c r="L86" s="31">
        <v>129.26</v>
      </c>
      <c r="M86" s="29" t="str">
        <f t="shared" si="4"/>
        <v>Mar-22</v>
      </c>
      <c r="N86" s="29" t="str">
        <f t="shared" si="5"/>
        <v>OK</v>
      </c>
      <c r="O86" s="29" t="str">
        <f t="shared" si="6"/>
        <v>Delayed</v>
      </c>
      <c r="P86" s="29" t="str">
        <f t="shared" si="7"/>
        <v>Low</v>
      </c>
      <c r="Q86" s="29" t="s">
        <v>113</v>
      </c>
      <c r="R86" s="29" t="s">
        <v>35</v>
      </c>
    </row>
    <row r="87" spans="1:18">
      <c r="A87" s="29">
        <v>10086</v>
      </c>
      <c r="B87" s="30">
        <v>44647</v>
      </c>
      <c r="C87" s="29">
        <v>1080</v>
      </c>
      <c r="D87" s="29" t="s">
        <v>22</v>
      </c>
      <c r="E87" s="29" t="s">
        <v>20</v>
      </c>
      <c r="F87" s="29">
        <v>2</v>
      </c>
      <c r="G87" s="31">
        <v>569.38</v>
      </c>
      <c r="H87" s="32">
        <v>0.17</v>
      </c>
      <c r="I87" s="31" t="s">
        <v>16</v>
      </c>
      <c r="J87" s="29">
        <v>1</v>
      </c>
      <c r="K87" s="33">
        <v>1.8</v>
      </c>
      <c r="L87" s="31">
        <v>945.17</v>
      </c>
      <c r="M87" s="29" t="str">
        <f t="shared" si="4"/>
        <v>Mar-22</v>
      </c>
      <c r="N87" s="29" t="str">
        <f t="shared" si="5"/>
        <v>OK</v>
      </c>
      <c r="O87" s="29" t="str">
        <f t="shared" si="6"/>
        <v>Fast</v>
      </c>
      <c r="P87" s="29" t="str">
        <f t="shared" si="7"/>
        <v>Low</v>
      </c>
      <c r="Q87" s="29" t="s">
        <v>114</v>
      </c>
      <c r="R87" s="29" t="s">
        <v>51</v>
      </c>
    </row>
    <row r="88" spans="1:18">
      <c r="A88" s="29">
        <v>10087</v>
      </c>
      <c r="B88" s="30">
        <v>44648</v>
      </c>
      <c r="C88" s="29">
        <v>1931</v>
      </c>
      <c r="D88" s="29" t="s">
        <v>15</v>
      </c>
      <c r="E88" s="29" t="s">
        <v>21</v>
      </c>
      <c r="F88" s="29">
        <v>7</v>
      </c>
      <c r="G88" s="31">
        <v>230.68</v>
      </c>
      <c r="H88" s="32">
        <v>0.25</v>
      </c>
      <c r="I88" s="31" t="s">
        <v>18</v>
      </c>
      <c r="J88" s="29">
        <v>7</v>
      </c>
      <c r="K88" s="33">
        <v>3.9</v>
      </c>
      <c r="L88" s="31">
        <v>1211.07</v>
      </c>
      <c r="M88" s="29" t="str">
        <f t="shared" si="4"/>
        <v>Mar-22</v>
      </c>
      <c r="N88" s="29" t="str">
        <f t="shared" si="5"/>
        <v>OK</v>
      </c>
      <c r="O88" s="29" t="str">
        <f t="shared" si="6"/>
        <v>Standard</v>
      </c>
      <c r="P88" s="29" t="str">
        <f t="shared" si="7"/>
        <v>Good</v>
      </c>
      <c r="Q88" s="29" t="s">
        <v>115</v>
      </c>
      <c r="R88" s="29" t="s">
        <v>32</v>
      </c>
    </row>
    <row r="89" spans="1:18">
      <c r="A89" s="29">
        <v>10088</v>
      </c>
      <c r="B89" s="30">
        <v>44649</v>
      </c>
      <c r="C89" s="29">
        <v>1561</v>
      </c>
      <c r="D89" s="29" t="s">
        <v>22</v>
      </c>
      <c r="E89" s="29" t="s">
        <v>20</v>
      </c>
      <c r="F89" s="29">
        <v>1</v>
      </c>
      <c r="G89" s="31">
        <v>20.9</v>
      </c>
      <c r="H89" s="32">
        <v>0.31</v>
      </c>
      <c r="I89" s="31" t="s">
        <v>18</v>
      </c>
      <c r="J89" s="29">
        <v>10</v>
      </c>
      <c r="K89" s="33">
        <v>3.1</v>
      </c>
      <c r="L89" s="31">
        <v>14.42</v>
      </c>
      <c r="M89" s="29" t="str">
        <f t="shared" si="4"/>
        <v>Mar-22</v>
      </c>
      <c r="N89" s="29" t="str">
        <f t="shared" si="5"/>
        <v>OK</v>
      </c>
      <c r="O89" s="29" t="str">
        <f t="shared" si="6"/>
        <v>Delayed</v>
      </c>
      <c r="P89" s="29" t="str">
        <f t="shared" si="7"/>
        <v>Average</v>
      </c>
      <c r="Q89" s="29" t="s">
        <v>116</v>
      </c>
      <c r="R89" s="29" t="s">
        <v>51</v>
      </c>
    </row>
    <row r="90" spans="1:18">
      <c r="A90" s="29">
        <v>10089</v>
      </c>
      <c r="B90" s="30">
        <v>44650</v>
      </c>
      <c r="C90" s="29">
        <v>1871</v>
      </c>
      <c r="D90" s="29" t="s">
        <v>12</v>
      </c>
      <c r="E90" s="29" t="s">
        <v>13</v>
      </c>
      <c r="F90" s="29">
        <v>2</v>
      </c>
      <c r="G90" s="31">
        <v>418.16</v>
      </c>
      <c r="H90" s="32">
        <v>0.1</v>
      </c>
      <c r="I90" s="31" t="s">
        <v>16</v>
      </c>
      <c r="J90" s="29">
        <v>5</v>
      </c>
      <c r="K90" s="33">
        <v>4.9</v>
      </c>
      <c r="L90" s="31">
        <v>752.69</v>
      </c>
      <c r="M90" s="29" t="str">
        <f t="shared" si="4"/>
        <v>Mar-22</v>
      </c>
      <c r="N90" s="29" t="str">
        <f t="shared" si="5"/>
        <v>OK</v>
      </c>
      <c r="O90" s="29" t="str">
        <f t="shared" si="6"/>
        <v>Standard</v>
      </c>
      <c r="P90" s="29" t="str">
        <f t="shared" si="7"/>
        <v>Excellent</v>
      </c>
      <c r="Q90" s="29" t="s">
        <v>49</v>
      </c>
      <c r="R90" s="29" t="s">
        <v>30</v>
      </c>
    </row>
    <row r="91" spans="1:18">
      <c r="A91" s="29">
        <v>10090</v>
      </c>
      <c r="B91" s="30">
        <v>44651</v>
      </c>
      <c r="C91" s="29">
        <v>1387</v>
      </c>
      <c r="D91" s="29" t="s">
        <v>19</v>
      </c>
      <c r="E91" s="29" t="s">
        <v>13</v>
      </c>
      <c r="F91" s="29">
        <v>6</v>
      </c>
      <c r="G91" s="31">
        <v>588.62</v>
      </c>
      <c r="H91" s="32">
        <v>0.12</v>
      </c>
      <c r="I91" s="31" t="s">
        <v>16</v>
      </c>
      <c r="J91" s="29">
        <v>10</v>
      </c>
      <c r="K91" s="33">
        <v>2</v>
      </c>
      <c r="L91" s="31">
        <v>3107.91</v>
      </c>
      <c r="M91" s="29" t="str">
        <f t="shared" si="4"/>
        <v>Mar-22</v>
      </c>
      <c r="N91" s="29" t="str">
        <f t="shared" si="5"/>
        <v>OK</v>
      </c>
      <c r="O91" s="29" t="str">
        <f t="shared" si="6"/>
        <v>Delayed</v>
      </c>
      <c r="P91" s="29" t="str">
        <f t="shared" si="7"/>
        <v>Low</v>
      </c>
      <c r="Q91" s="29" t="s">
        <v>95</v>
      </c>
      <c r="R91" s="29" t="s">
        <v>35</v>
      </c>
    </row>
    <row r="92" spans="1:18">
      <c r="A92" s="29">
        <v>10091</v>
      </c>
      <c r="B92" s="30">
        <v>44652</v>
      </c>
      <c r="C92" s="29">
        <v>1001</v>
      </c>
      <c r="D92" s="29" t="s">
        <v>22</v>
      </c>
      <c r="E92" s="29" t="s">
        <v>17</v>
      </c>
      <c r="F92" s="29">
        <v>3</v>
      </c>
      <c r="G92" s="31">
        <v>579.89</v>
      </c>
      <c r="H92" s="32">
        <v>0.33</v>
      </c>
      <c r="I92" s="31" t="s">
        <v>14</v>
      </c>
      <c r="J92" s="29">
        <v>4</v>
      </c>
      <c r="K92" s="33">
        <v>4.8</v>
      </c>
      <c r="L92" s="31">
        <v>1165.58</v>
      </c>
      <c r="M92" s="29" t="str">
        <f t="shared" si="4"/>
        <v>Apr-22</v>
      </c>
      <c r="N92" s="29" t="str">
        <f t="shared" si="5"/>
        <v>OK</v>
      </c>
      <c r="O92" s="29" t="str">
        <f t="shared" si="6"/>
        <v>Standard</v>
      </c>
      <c r="P92" s="29" t="str">
        <f t="shared" si="7"/>
        <v>Excellent</v>
      </c>
      <c r="Q92" s="29" t="s">
        <v>117</v>
      </c>
      <c r="R92" s="29" t="s">
        <v>51</v>
      </c>
    </row>
    <row r="93" spans="1:18">
      <c r="A93" s="29">
        <v>10092</v>
      </c>
      <c r="B93" s="30">
        <v>44653</v>
      </c>
      <c r="C93" s="29">
        <v>1389</v>
      </c>
      <c r="D93" s="29" t="s">
        <v>15</v>
      </c>
      <c r="E93" s="29" t="s">
        <v>20</v>
      </c>
      <c r="F93" s="29">
        <v>5</v>
      </c>
      <c r="G93" s="31">
        <v>109.15</v>
      </c>
      <c r="H93" s="32">
        <v>0.2</v>
      </c>
      <c r="I93" s="31" t="s">
        <v>16</v>
      </c>
      <c r="J93" s="29">
        <v>1</v>
      </c>
      <c r="K93" s="33">
        <v>3.1</v>
      </c>
      <c r="L93" s="31">
        <v>436.6</v>
      </c>
      <c r="M93" s="29" t="str">
        <f t="shared" si="4"/>
        <v>Apr-22</v>
      </c>
      <c r="N93" s="29" t="str">
        <f t="shared" si="5"/>
        <v>OK</v>
      </c>
      <c r="O93" s="29" t="str">
        <f t="shared" si="6"/>
        <v>Fast</v>
      </c>
      <c r="P93" s="29" t="str">
        <f t="shared" si="7"/>
        <v>Average</v>
      </c>
      <c r="Q93" s="29" t="s">
        <v>118</v>
      </c>
      <c r="R93" s="29" t="s">
        <v>32</v>
      </c>
    </row>
    <row r="94" spans="1:18">
      <c r="A94" s="29">
        <v>10093</v>
      </c>
      <c r="B94" s="30">
        <v>44654</v>
      </c>
      <c r="C94" s="29">
        <v>1565</v>
      </c>
      <c r="D94" s="29" t="s">
        <v>12</v>
      </c>
      <c r="E94" s="29" t="s">
        <v>20</v>
      </c>
      <c r="F94" s="29">
        <v>4</v>
      </c>
      <c r="G94" s="31">
        <v>121.03</v>
      </c>
      <c r="H94" s="32">
        <v>0.06</v>
      </c>
      <c r="I94" s="31" t="s">
        <v>14</v>
      </c>
      <c r="J94" s="29">
        <v>9</v>
      </c>
      <c r="K94" s="33">
        <v>1.6</v>
      </c>
      <c r="L94" s="31">
        <v>455.07</v>
      </c>
      <c r="M94" s="29" t="str">
        <f t="shared" si="4"/>
        <v>Apr-22</v>
      </c>
      <c r="N94" s="29" t="str">
        <f t="shared" si="5"/>
        <v>OK</v>
      </c>
      <c r="O94" s="29" t="str">
        <f t="shared" si="6"/>
        <v>Delayed</v>
      </c>
      <c r="P94" s="29" t="str">
        <f t="shared" si="7"/>
        <v>Low</v>
      </c>
      <c r="Q94" s="29" t="s">
        <v>119</v>
      </c>
      <c r="R94" s="29" t="s">
        <v>30</v>
      </c>
    </row>
    <row r="95" spans="1:18">
      <c r="A95" s="29">
        <v>10094</v>
      </c>
      <c r="B95" s="30">
        <v>44655</v>
      </c>
      <c r="C95" s="29">
        <v>1105</v>
      </c>
      <c r="D95" s="29" t="s">
        <v>19</v>
      </c>
      <c r="E95" s="29" t="s">
        <v>21</v>
      </c>
      <c r="F95" s="29">
        <v>3</v>
      </c>
      <c r="G95" s="31">
        <v>345.84</v>
      </c>
      <c r="H95" s="32">
        <v>0.23</v>
      </c>
      <c r="I95" s="31" t="s">
        <v>14</v>
      </c>
      <c r="J95" s="29">
        <v>7</v>
      </c>
      <c r="K95" s="33">
        <v>1.6</v>
      </c>
      <c r="L95" s="31">
        <v>798.89</v>
      </c>
      <c r="M95" s="29" t="str">
        <f t="shared" si="4"/>
        <v>Apr-22</v>
      </c>
      <c r="N95" s="29" t="str">
        <f t="shared" si="5"/>
        <v>OK</v>
      </c>
      <c r="O95" s="29" t="str">
        <f t="shared" si="6"/>
        <v>Standard</v>
      </c>
      <c r="P95" s="29" t="str">
        <f t="shared" si="7"/>
        <v>Low</v>
      </c>
      <c r="Q95" s="29" t="s">
        <v>120</v>
      </c>
      <c r="R95" s="29" t="s">
        <v>35</v>
      </c>
    </row>
    <row r="96" spans="1:18">
      <c r="A96" s="29">
        <v>10095</v>
      </c>
      <c r="B96" s="30">
        <v>44656</v>
      </c>
      <c r="C96" s="29">
        <v>1771</v>
      </c>
      <c r="D96" s="29" t="s">
        <v>22</v>
      </c>
      <c r="E96" s="29" t="s">
        <v>20</v>
      </c>
      <c r="F96" s="29">
        <v>2</v>
      </c>
      <c r="G96" s="31">
        <v>387.82</v>
      </c>
      <c r="H96" s="32">
        <v>0.35</v>
      </c>
      <c r="I96" s="31" t="s">
        <v>18</v>
      </c>
      <c r="J96" s="29">
        <v>2</v>
      </c>
      <c r="K96" s="33">
        <v>3.4</v>
      </c>
      <c r="L96" s="31">
        <v>504.17</v>
      </c>
      <c r="M96" s="29" t="str">
        <f t="shared" si="4"/>
        <v>Apr-22</v>
      </c>
      <c r="N96" s="29" t="str">
        <f t="shared" si="5"/>
        <v>OK</v>
      </c>
      <c r="O96" s="29" t="str">
        <f t="shared" si="6"/>
        <v>Fast</v>
      </c>
      <c r="P96" s="29" t="str">
        <f t="shared" si="7"/>
        <v>Average</v>
      </c>
      <c r="Q96" s="29" t="s">
        <v>121</v>
      </c>
      <c r="R96" s="29" t="s">
        <v>51</v>
      </c>
    </row>
    <row r="97" spans="1:18">
      <c r="A97" s="29">
        <v>10096</v>
      </c>
      <c r="B97" s="30">
        <v>44657</v>
      </c>
      <c r="C97" s="29">
        <v>1821</v>
      </c>
      <c r="D97" s="29" t="s">
        <v>15</v>
      </c>
      <c r="E97" s="29" t="s">
        <v>20</v>
      </c>
      <c r="F97" s="29">
        <v>1</v>
      </c>
      <c r="G97" s="31">
        <v>447.56</v>
      </c>
      <c r="H97" s="32">
        <v>0.29</v>
      </c>
      <c r="I97" s="31" t="s">
        <v>16</v>
      </c>
      <c r="J97" s="29">
        <v>4</v>
      </c>
      <c r="K97" s="33">
        <v>4.3</v>
      </c>
      <c r="L97" s="31">
        <v>317.77</v>
      </c>
      <c r="M97" s="29" t="str">
        <f t="shared" si="4"/>
        <v>Apr-22</v>
      </c>
      <c r="N97" s="29" t="str">
        <f t="shared" si="5"/>
        <v>OK</v>
      </c>
      <c r="O97" s="29" t="str">
        <f t="shared" si="6"/>
        <v>Standard</v>
      </c>
      <c r="P97" s="29" t="str">
        <f t="shared" si="7"/>
        <v>Good</v>
      </c>
      <c r="Q97" s="29" t="s">
        <v>122</v>
      </c>
      <c r="R97" s="29" t="s">
        <v>32</v>
      </c>
    </row>
    <row r="98" spans="1:18">
      <c r="A98" s="29">
        <v>10097</v>
      </c>
      <c r="B98" s="30">
        <v>44658</v>
      </c>
      <c r="C98" s="29">
        <v>1476</v>
      </c>
      <c r="D98" s="29" t="s">
        <v>19</v>
      </c>
      <c r="E98" s="29" t="s">
        <v>21</v>
      </c>
      <c r="F98" s="29">
        <v>7</v>
      </c>
      <c r="G98" s="31">
        <v>120.91</v>
      </c>
      <c r="H98" s="32">
        <v>0.26</v>
      </c>
      <c r="I98" s="31" t="s">
        <v>18</v>
      </c>
      <c r="J98" s="29">
        <v>4</v>
      </c>
      <c r="K98" s="33">
        <v>4</v>
      </c>
      <c r="L98" s="31">
        <v>626.31</v>
      </c>
      <c r="M98" s="29" t="str">
        <f t="shared" si="4"/>
        <v>Apr-22</v>
      </c>
      <c r="N98" s="29" t="str">
        <f t="shared" si="5"/>
        <v>OK</v>
      </c>
      <c r="O98" s="29" t="str">
        <f t="shared" si="6"/>
        <v>Standard</v>
      </c>
      <c r="P98" s="29" t="str">
        <f t="shared" si="7"/>
        <v>Good</v>
      </c>
      <c r="Q98" s="29" t="s">
        <v>123</v>
      </c>
      <c r="R98" s="29" t="s">
        <v>35</v>
      </c>
    </row>
    <row r="99" spans="1:18">
      <c r="A99" s="29">
        <v>10098</v>
      </c>
      <c r="B99" s="30">
        <v>44659</v>
      </c>
      <c r="C99" s="29">
        <v>1702</v>
      </c>
      <c r="D99" s="29" t="s">
        <v>19</v>
      </c>
      <c r="E99" s="29" t="s">
        <v>21</v>
      </c>
      <c r="F99" s="29">
        <v>6</v>
      </c>
      <c r="G99" s="31">
        <v>576.02</v>
      </c>
      <c r="H99" s="32">
        <v>0.07</v>
      </c>
      <c r="I99" s="31" t="s">
        <v>16</v>
      </c>
      <c r="J99" s="29">
        <v>8</v>
      </c>
      <c r="K99" s="33">
        <v>3.6</v>
      </c>
      <c r="L99" s="31">
        <v>3214.19</v>
      </c>
      <c r="M99" s="29" t="str">
        <f t="shared" si="4"/>
        <v>Apr-22</v>
      </c>
      <c r="N99" s="29" t="str">
        <f t="shared" si="5"/>
        <v>OK</v>
      </c>
      <c r="O99" s="29" t="str">
        <f t="shared" si="6"/>
        <v>Delayed</v>
      </c>
      <c r="P99" s="29" t="str">
        <f t="shared" si="7"/>
        <v>Good</v>
      </c>
      <c r="Q99" s="29" t="s">
        <v>124</v>
      </c>
      <c r="R99" s="29" t="s">
        <v>35</v>
      </c>
    </row>
    <row r="100" spans="1:18">
      <c r="A100" s="29">
        <v>10099</v>
      </c>
      <c r="B100" s="30">
        <v>44660</v>
      </c>
      <c r="C100" s="29">
        <v>1401</v>
      </c>
      <c r="D100" s="29" t="s">
        <v>22</v>
      </c>
      <c r="E100" s="29" t="s">
        <v>20</v>
      </c>
      <c r="F100" s="29">
        <v>3</v>
      </c>
      <c r="G100" s="31">
        <v>388.66</v>
      </c>
      <c r="H100" s="32">
        <v>0.31</v>
      </c>
      <c r="I100" s="31" t="s">
        <v>16</v>
      </c>
      <c r="J100" s="29">
        <v>2</v>
      </c>
      <c r="K100" s="33">
        <v>1.7</v>
      </c>
      <c r="L100" s="31">
        <v>804.53</v>
      </c>
      <c r="M100" s="29" t="str">
        <f t="shared" si="4"/>
        <v>Apr-22</v>
      </c>
      <c r="N100" s="29" t="str">
        <f t="shared" si="5"/>
        <v>OK</v>
      </c>
      <c r="O100" s="29" t="str">
        <f t="shared" si="6"/>
        <v>Fast</v>
      </c>
      <c r="P100" s="29" t="str">
        <f t="shared" si="7"/>
        <v>Low</v>
      </c>
      <c r="Q100" s="29" t="s">
        <v>125</v>
      </c>
      <c r="R100" s="29" t="s">
        <v>51</v>
      </c>
    </row>
    <row r="101" spans="1:18">
      <c r="A101" s="29">
        <v>10100</v>
      </c>
      <c r="B101" s="30">
        <v>44661</v>
      </c>
      <c r="C101" s="29">
        <v>1729</v>
      </c>
      <c r="D101" s="29" t="s">
        <v>22</v>
      </c>
      <c r="E101" s="29" t="s">
        <v>17</v>
      </c>
      <c r="F101" s="29">
        <v>7</v>
      </c>
      <c r="G101" s="31">
        <v>510.52</v>
      </c>
      <c r="H101" s="32">
        <v>0.18</v>
      </c>
      <c r="I101" s="31" t="s">
        <v>18</v>
      </c>
      <c r="J101" s="29">
        <v>11</v>
      </c>
      <c r="K101" s="33">
        <v>1.4</v>
      </c>
      <c r="L101" s="31">
        <v>2930.38</v>
      </c>
      <c r="M101" s="29" t="str">
        <f t="shared" si="4"/>
        <v>Apr-22</v>
      </c>
      <c r="N101" s="29" t="str">
        <f t="shared" si="5"/>
        <v>OK</v>
      </c>
      <c r="O101" s="29" t="str">
        <f t="shared" si="6"/>
        <v>Delayed</v>
      </c>
      <c r="P101" s="29" t="str">
        <f t="shared" si="7"/>
        <v>Low</v>
      </c>
      <c r="Q101" s="29" t="s">
        <v>126</v>
      </c>
      <c r="R101" s="29" t="s">
        <v>51</v>
      </c>
    </row>
    <row r="102" spans="1:18">
      <c r="A102" s="29">
        <v>10101</v>
      </c>
      <c r="B102" s="30">
        <v>44662</v>
      </c>
      <c r="C102" s="29">
        <v>1555</v>
      </c>
      <c r="D102" s="29" t="s">
        <v>19</v>
      </c>
      <c r="E102" s="29" t="s">
        <v>21</v>
      </c>
      <c r="F102" s="29">
        <v>7</v>
      </c>
      <c r="G102" s="31">
        <v>330.94</v>
      </c>
      <c r="H102" s="32">
        <v>0.31</v>
      </c>
      <c r="I102" s="31" t="s">
        <v>16</v>
      </c>
      <c r="J102" s="29">
        <v>5</v>
      </c>
      <c r="K102" s="33">
        <v>1</v>
      </c>
      <c r="L102" s="31">
        <v>1598.44</v>
      </c>
      <c r="M102" s="29" t="str">
        <f t="shared" si="4"/>
        <v>Apr-22</v>
      </c>
      <c r="N102" s="29" t="str">
        <f t="shared" si="5"/>
        <v>OK</v>
      </c>
      <c r="O102" s="29" t="str">
        <f t="shared" si="6"/>
        <v>Standard</v>
      </c>
      <c r="P102" s="29" t="str">
        <f t="shared" si="7"/>
        <v>Low</v>
      </c>
      <c r="Q102" s="29" t="s">
        <v>127</v>
      </c>
      <c r="R102" s="29" t="s">
        <v>35</v>
      </c>
    </row>
    <row r="103" spans="1:18">
      <c r="A103" s="29">
        <v>10102</v>
      </c>
      <c r="B103" s="30">
        <v>44663</v>
      </c>
      <c r="C103" s="29">
        <v>1161</v>
      </c>
      <c r="D103" s="29" t="s">
        <v>15</v>
      </c>
      <c r="E103" s="29" t="s">
        <v>21</v>
      </c>
      <c r="F103" s="29">
        <v>5</v>
      </c>
      <c r="G103" s="31">
        <v>257.35</v>
      </c>
      <c r="H103" s="32">
        <v>0.12</v>
      </c>
      <c r="I103" s="31" t="s">
        <v>16</v>
      </c>
      <c r="J103" s="29">
        <v>10</v>
      </c>
      <c r="K103" s="33">
        <v>1.4</v>
      </c>
      <c r="L103" s="31">
        <v>1132.34</v>
      </c>
      <c r="M103" s="29" t="str">
        <f t="shared" si="4"/>
        <v>Apr-22</v>
      </c>
      <c r="N103" s="29" t="str">
        <f t="shared" si="5"/>
        <v>OK</v>
      </c>
      <c r="O103" s="29" t="str">
        <f t="shared" si="6"/>
        <v>Delayed</v>
      </c>
      <c r="P103" s="29" t="str">
        <f t="shared" si="7"/>
        <v>Low</v>
      </c>
      <c r="Q103" s="29" t="s">
        <v>128</v>
      </c>
      <c r="R103" s="29" t="s">
        <v>32</v>
      </c>
    </row>
    <row r="104" spans="1:18">
      <c r="A104" s="29">
        <v>10103</v>
      </c>
      <c r="B104" s="30">
        <v>44664</v>
      </c>
      <c r="C104" s="29">
        <v>1201</v>
      </c>
      <c r="D104" s="29" t="s">
        <v>15</v>
      </c>
      <c r="E104" s="29" t="s">
        <v>20</v>
      </c>
      <c r="F104" s="29">
        <v>6</v>
      </c>
      <c r="G104" s="31">
        <v>586.65</v>
      </c>
      <c r="H104" s="32">
        <v>0.02</v>
      </c>
      <c r="I104" s="31" t="s">
        <v>18</v>
      </c>
      <c r="J104" s="29">
        <v>8</v>
      </c>
      <c r="K104" s="33">
        <v>4.1</v>
      </c>
      <c r="L104" s="31">
        <v>3449.5</v>
      </c>
      <c r="M104" s="29" t="str">
        <f t="shared" si="4"/>
        <v>Apr-22</v>
      </c>
      <c r="N104" s="29" t="str">
        <f t="shared" si="5"/>
        <v>OK</v>
      </c>
      <c r="O104" s="29" t="str">
        <f t="shared" si="6"/>
        <v>Delayed</v>
      </c>
      <c r="P104" s="29" t="str">
        <f t="shared" si="7"/>
        <v>Good</v>
      </c>
      <c r="Q104" s="29" t="s">
        <v>129</v>
      </c>
      <c r="R104" s="29" t="s">
        <v>32</v>
      </c>
    </row>
    <row r="105" spans="1:18">
      <c r="A105" s="29">
        <v>10104</v>
      </c>
      <c r="B105" s="30">
        <v>44665</v>
      </c>
      <c r="C105" s="29">
        <v>1957</v>
      </c>
      <c r="D105" s="29" t="s">
        <v>22</v>
      </c>
      <c r="E105" s="29" t="s">
        <v>20</v>
      </c>
      <c r="F105" s="29">
        <v>2</v>
      </c>
      <c r="G105" s="31">
        <v>355.54</v>
      </c>
      <c r="H105" s="32">
        <v>0.17</v>
      </c>
      <c r="I105" s="31" t="s">
        <v>18</v>
      </c>
      <c r="J105" s="29">
        <v>6</v>
      </c>
      <c r="K105" s="33">
        <v>4.6</v>
      </c>
      <c r="L105" s="31">
        <v>590.2</v>
      </c>
      <c r="M105" s="29" t="str">
        <f t="shared" si="4"/>
        <v>Apr-22</v>
      </c>
      <c r="N105" s="29" t="str">
        <f t="shared" si="5"/>
        <v>OK</v>
      </c>
      <c r="O105" s="29" t="str">
        <f t="shared" si="6"/>
        <v>Standard</v>
      </c>
      <c r="P105" s="29" t="str">
        <f t="shared" si="7"/>
        <v>Excellent</v>
      </c>
      <c r="Q105" s="29" t="s">
        <v>81</v>
      </c>
      <c r="R105" s="29" t="s">
        <v>51</v>
      </c>
    </row>
    <row r="106" spans="1:18">
      <c r="A106" s="29">
        <v>10105</v>
      </c>
      <c r="B106" s="30">
        <v>44666</v>
      </c>
      <c r="C106" s="29">
        <v>1995</v>
      </c>
      <c r="D106" s="29" t="s">
        <v>19</v>
      </c>
      <c r="E106" s="29" t="s">
        <v>21</v>
      </c>
      <c r="F106" s="29">
        <v>6</v>
      </c>
      <c r="G106" s="31">
        <v>522.12</v>
      </c>
      <c r="H106" s="32">
        <v>0.09</v>
      </c>
      <c r="I106" s="31" t="s">
        <v>16</v>
      </c>
      <c r="J106" s="29">
        <v>4</v>
      </c>
      <c r="K106" s="33">
        <v>2</v>
      </c>
      <c r="L106" s="31">
        <v>2850.78</v>
      </c>
      <c r="M106" s="29" t="str">
        <f t="shared" si="4"/>
        <v>Apr-22</v>
      </c>
      <c r="N106" s="29" t="str">
        <f t="shared" si="5"/>
        <v>OK</v>
      </c>
      <c r="O106" s="29" t="str">
        <f t="shared" si="6"/>
        <v>Standard</v>
      </c>
      <c r="P106" s="29" t="str">
        <f t="shared" si="7"/>
        <v>Low</v>
      </c>
      <c r="Q106" s="29" t="s">
        <v>130</v>
      </c>
      <c r="R106" s="29" t="s">
        <v>35</v>
      </c>
    </row>
    <row r="107" spans="1:18">
      <c r="A107" s="29">
        <v>10106</v>
      </c>
      <c r="B107" s="30">
        <v>44667</v>
      </c>
      <c r="C107" s="29">
        <v>1269</v>
      </c>
      <c r="D107" s="29" t="s">
        <v>12</v>
      </c>
      <c r="E107" s="29" t="s">
        <v>20</v>
      </c>
      <c r="F107" s="29">
        <v>6</v>
      </c>
      <c r="G107" s="31">
        <v>572.68</v>
      </c>
      <c r="H107" s="32">
        <v>0.25</v>
      </c>
      <c r="I107" s="31" t="s">
        <v>16</v>
      </c>
      <c r="J107" s="29">
        <v>5</v>
      </c>
      <c r="K107" s="33">
        <v>4.2</v>
      </c>
      <c r="L107" s="31">
        <v>2577.06</v>
      </c>
      <c r="M107" s="29" t="str">
        <f t="shared" si="4"/>
        <v>Apr-22</v>
      </c>
      <c r="N107" s="29" t="str">
        <f t="shared" si="5"/>
        <v>OK</v>
      </c>
      <c r="O107" s="29" t="str">
        <f t="shared" si="6"/>
        <v>Standard</v>
      </c>
      <c r="P107" s="29" t="str">
        <f t="shared" si="7"/>
        <v>Good</v>
      </c>
      <c r="Q107" s="29" t="s">
        <v>131</v>
      </c>
      <c r="R107" s="29" t="s">
        <v>30</v>
      </c>
    </row>
    <row r="108" spans="1:18">
      <c r="A108" s="29">
        <v>10107</v>
      </c>
      <c r="B108" s="30">
        <v>44668</v>
      </c>
      <c r="C108" s="29">
        <v>1862</v>
      </c>
      <c r="D108" s="29" t="s">
        <v>19</v>
      </c>
      <c r="E108" s="29" t="s">
        <v>21</v>
      </c>
      <c r="F108" s="29">
        <v>1</v>
      </c>
      <c r="G108" s="31">
        <v>410.08</v>
      </c>
      <c r="H108" s="32">
        <v>0.33</v>
      </c>
      <c r="I108" s="31" t="s">
        <v>16</v>
      </c>
      <c r="J108" s="29">
        <v>2</v>
      </c>
      <c r="K108" s="33">
        <v>1.8</v>
      </c>
      <c r="L108" s="31">
        <v>274.75</v>
      </c>
      <c r="M108" s="29" t="str">
        <f t="shared" si="4"/>
        <v>Apr-22</v>
      </c>
      <c r="N108" s="29" t="str">
        <f t="shared" si="5"/>
        <v>OK</v>
      </c>
      <c r="O108" s="29" t="str">
        <f t="shared" si="6"/>
        <v>Fast</v>
      </c>
      <c r="P108" s="29" t="str">
        <f t="shared" si="7"/>
        <v>Low</v>
      </c>
      <c r="Q108" s="29" t="s">
        <v>132</v>
      </c>
      <c r="R108" s="29" t="s">
        <v>35</v>
      </c>
    </row>
    <row r="109" spans="1:18">
      <c r="A109" s="29">
        <v>10108</v>
      </c>
      <c r="B109" s="30">
        <v>44669</v>
      </c>
      <c r="C109" s="29">
        <v>1815</v>
      </c>
      <c r="D109" s="29" t="s">
        <v>15</v>
      </c>
      <c r="E109" s="29" t="s">
        <v>17</v>
      </c>
      <c r="F109" s="29">
        <v>4</v>
      </c>
      <c r="G109" s="31">
        <v>336.13</v>
      </c>
      <c r="H109" s="32">
        <v>0.24</v>
      </c>
      <c r="I109" s="31" t="s">
        <v>16</v>
      </c>
      <c r="J109" s="29">
        <v>5</v>
      </c>
      <c r="K109" s="33">
        <v>2</v>
      </c>
      <c r="L109" s="31">
        <v>1021.84</v>
      </c>
      <c r="M109" s="29" t="str">
        <f t="shared" si="4"/>
        <v>Apr-22</v>
      </c>
      <c r="N109" s="29" t="str">
        <f t="shared" si="5"/>
        <v>OK</v>
      </c>
      <c r="O109" s="29" t="str">
        <f t="shared" si="6"/>
        <v>Standard</v>
      </c>
      <c r="P109" s="29" t="str">
        <f t="shared" si="7"/>
        <v>Low</v>
      </c>
      <c r="Q109" s="29" t="s">
        <v>133</v>
      </c>
      <c r="R109" s="29" t="s">
        <v>32</v>
      </c>
    </row>
    <row r="110" spans="1:18">
      <c r="A110" s="29">
        <v>10109</v>
      </c>
      <c r="B110" s="30">
        <v>44670</v>
      </c>
      <c r="C110" s="29">
        <v>1270</v>
      </c>
      <c r="D110" s="29" t="s">
        <v>19</v>
      </c>
      <c r="E110" s="29" t="s">
        <v>17</v>
      </c>
      <c r="F110" s="29">
        <v>7</v>
      </c>
      <c r="G110" s="31">
        <v>17.05</v>
      </c>
      <c r="H110" s="32">
        <v>0.31</v>
      </c>
      <c r="I110" s="31" t="s">
        <v>18</v>
      </c>
      <c r="J110" s="29">
        <v>3</v>
      </c>
      <c r="K110" s="33">
        <v>1.9</v>
      </c>
      <c r="L110" s="31">
        <v>82.35</v>
      </c>
      <c r="M110" s="29" t="str">
        <f t="shared" si="4"/>
        <v>Apr-22</v>
      </c>
      <c r="N110" s="29" t="str">
        <f t="shared" si="5"/>
        <v>OK</v>
      </c>
      <c r="O110" s="29" t="str">
        <f t="shared" si="6"/>
        <v>Fast</v>
      </c>
      <c r="P110" s="29" t="str">
        <f t="shared" si="7"/>
        <v>Low</v>
      </c>
      <c r="Q110" s="29" t="s">
        <v>34</v>
      </c>
      <c r="R110" s="29" t="s">
        <v>35</v>
      </c>
    </row>
    <row r="111" spans="1:18">
      <c r="A111" s="29">
        <v>10110</v>
      </c>
      <c r="B111" s="30">
        <v>44671</v>
      </c>
      <c r="C111" s="29">
        <v>1455</v>
      </c>
      <c r="D111" s="29" t="s">
        <v>19</v>
      </c>
      <c r="E111" s="29" t="s">
        <v>21</v>
      </c>
      <c r="F111" s="29">
        <v>2</v>
      </c>
      <c r="G111" s="31">
        <v>38.41</v>
      </c>
      <c r="H111" s="32">
        <v>0.16</v>
      </c>
      <c r="I111" s="31" t="s">
        <v>18</v>
      </c>
      <c r="J111" s="29">
        <v>3</v>
      </c>
      <c r="K111" s="33">
        <v>1.2</v>
      </c>
      <c r="L111" s="31">
        <v>64.53</v>
      </c>
      <c r="M111" s="29" t="str">
        <f t="shared" si="4"/>
        <v>Apr-22</v>
      </c>
      <c r="N111" s="29" t="str">
        <f t="shared" si="5"/>
        <v>OK</v>
      </c>
      <c r="O111" s="29" t="str">
        <f t="shared" si="6"/>
        <v>Fast</v>
      </c>
      <c r="P111" s="29" t="str">
        <f t="shared" si="7"/>
        <v>Low</v>
      </c>
      <c r="Q111" s="29" t="s">
        <v>134</v>
      </c>
      <c r="R111" s="29" t="s">
        <v>35</v>
      </c>
    </row>
    <row r="112" spans="1:18">
      <c r="A112" s="29">
        <v>10111</v>
      </c>
      <c r="B112" s="30">
        <v>44672</v>
      </c>
      <c r="C112" s="29">
        <v>1461</v>
      </c>
      <c r="D112" s="29" t="s">
        <v>15</v>
      </c>
      <c r="E112" s="29" t="s">
        <v>21</v>
      </c>
      <c r="F112" s="29">
        <v>1</v>
      </c>
      <c r="G112" s="31">
        <v>132.5</v>
      </c>
      <c r="H112" s="32">
        <v>0.27</v>
      </c>
      <c r="I112" s="31" t="s">
        <v>18</v>
      </c>
      <c r="J112" s="29">
        <v>7</v>
      </c>
      <c r="K112" s="33">
        <v>1.8</v>
      </c>
      <c r="L112" s="31">
        <v>96.72</v>
      </c>
      <c r="M112" s="29" t="str">
        <f t="shared" si="4"/>
        <v>Apr-22</v>
      </c>
      <c r="N112" s="29" t="str">
        <f t="shared" si="5"/>
        <v>Check</v>
      </c>
      <c r="O112" s="29" t="str">
        <f t="shared" si="6"/>
        <v>Standard</v>
      </c>
      <c r="P112" s="29" t="str">
        <f t="shared" si="7"/>
        <v>Low</v>
      </c>
      <c r="Q112" s="29" t="s">
        <v>135</v>
      </c>
      <c r="R112" s="29" t="s">
        <v>32</v>
      </c>
    </row>
    <row r="113" spans="1:18">
      <c r="A113" s="29">
        <v>10112</v>
      </c>
      <c r="B113" s="30">
        <v>44673</v>
      </c>
      <c r="C113" s="29">
        <v>1726</v>
      </c>
      <c r="D113" s="29" t="s">
        <v>19</v>
      </c>
      <c r="E113" s="29" t="s">
        <v>13</v>
      </c>
      <c r="F113" s="29">
        <v>7</v>
      </c>
      <c r="G113" s="31">
        <v>123.81</v>
      </c>
      <c r="H113" s="32">
        <v>0.3</v>
      </c>
      <c r="I113" s="31" t="s">
        <v>16</v>
      </c>
      <c r="J113" s="29">
        <v>3</v>
      </c>
      <c r="K113" s="33">
        <v>2.5</v>
      </c>
      <c r="L113" s="31">
        <v>606.67</v>
      </c>
      <c r="M113" s="29" t="str">
        <f t="shared" si="4"/>
        <v>Apr-22</v>
      </c>
      <c r="N113" s="29" t="str">
        <f t="shared" si="5"/>
        <v>OK</v>
      </c>
      <c r="O113" s="29" t="str">
        <f t="shared" si="6"/>
        <v>Fast</v>
      </c>
      <c r="P113" s="29" t="str">
        <f t="shared" si="7"/>
        <v>Average</v>
      </c>
      <c r="Q113" s="29" t="s">
        <v>136</v>
      </c>
      <c r="R113" s="29" t="s">
        <v>35</v>
      </c>
    </row>
    <row r="114" spans="1:18">
      <c r="A114" s="29">
        <v>10113</v>
      </c>
      <c r="B114" s="30">
        <v>44674</v>
      </c>
      <c r="C114" s="29">
        <v>1251</v>
      </c>
      <c r="D114" s="29" t="s">
        <v>22</v>
      </c>
      <c r="E114" s="29" t="s">
        <v>13</v>
      </c>
      <c r="F114" s="29">
        <v>4</v>
      </c>
      <c r="G114" s="31">
        <v>164.03</v>
      </c>
      <c r="H114" s="32">
        <v>0.25</v>
      </c>
      <c r="I114" s="31" t="s">
        <v>16</v>
      </c>
      <c r="J114" s="29">
        <v>4</v>
      </c>
      <c r="K114" s="33">
        <v>2.6</v>
      </c>
      <c r="L114" s="31">
        <v>492.09</v>
      </c>
      <c r="M114" s="29" t="str">
        <f t="shared" si="4"/>
        <v>Apr-22</v>
      </c>
      <c r="N114" s="29" t="str">
        <f t="shared" si="5"/>
        <v>OK</v>
      </c>
      <c r="O114" s="29" t="str">
        <f t="shared" si="6"/>
        <v>Standard</v>
      </c>
      <c r="P114" s="29" t="str">
        <f t="shared" si="7"/>
        <v>Average</v>
      </c>
      <c r="Q114" s="29" t="s">
        <v>137</v>
      </c>
      <c r="R114" s="29" t="s">
        <v>51</v>
      </c>
    </row>
    <row r="115" spans="1:18">
      <c r="A115" s="29">
        <v>10114</v>
      </c>
      <c r="B115" s="30">
        <v>44675</v>
      </c>
      <c r="C115" s="29">
        <v>1701</v>
      </c>
      <c r="D115" s="29" t="s">
        <v>19</v>
      </c>
      <c r="E115" s="29" t="s">
        <v>20</v>
      </c>
      <c r="F115" s="29">
        <v>1</v>
      </c>
      <c r="G115" s="31">
        <v>193.39</v>
      </c>
      <c r="H115" s="32">
        <v>0.18</v>
      </c>
      <c r="I115" s="31" t="s">
        <v>16</v>
      </c>
      <c r="J115" s="29">
        <v>7</v>
      </c>
      <c r="K115" s="33">
        <v>2.2</v>
      </c>
      <c r="L115" s="31">
        <v>158.58</v>
      </c>
      <c r="M115" s="29" t="str">
        <f t="shared" si="4"/>
        <v>Apr-22</v>
      </c>
      <c r="N115" s="29" t="str">
        <f t="shared" si="5"/>
        <v>OK</v>
      </c>
      <c r="O115" s="29" t="str">
        <f t="shared" si="6"/>
        <v>Standard</v>
      </c>
      <c r="P115" s="29" t="str">
        <f t="shared" si="7"/>
        <v>Low</v>
      </c>
      <c r="Q115" s="29" t="s">
        <v>138</v>
      </c>
      <c r="R115" s="29" t="s">
        <v>35</v>
      </c>
    </row>
    <row r="116" spans="1:18">
      <c r="A116" s="29">
        <v>10115</v>
      </c>
      <c r="B116" s="30">
        <v>44676</v>
      </c>
      <c r="C116" s="29">
        <v>1295</v>
      </c>
      <c r="D116" s="29" t="s">
        <v>15</v>
      </c>
      <c r="E116" s="29" t="s">
        <v>20</v>
      </c>
      <c r="F116" s="29">
        <v>4</v>
      </c>
      <c r="G116" s="31">
        <v>225.64</v>
      </c>
      <c r="H116" s="32">
        <v>0.22</v>
      </c>
      <c r="I116" s="31" t="s">
        <v>16</v>
      </c>
      <c r="J116" s="29">
        <v>3</v>
      </c>
      <c r="K116" s="33">
        <v>3.1</v>
      </c>
      <c r="L116" s="31">
        <v>704</v>
      </c>
      <c r="M116" s="29" t="str">
        <f t="shared" si="4"/>
        <v>Apr-22</v>
      </c>
      <c r="N116" s="29" t="str">
        <f t="shared" si="5"/>
        <v>OK</v>
      </c>
      <c r="O116" s="29" t="str">
        <f t="shared" si="6"/>
        <v>Fast</v>
      </c>
      <c r="P116" s="29" t="str">
        <f t="shared" si="7"/>
        <v>Average</v>
      </c>
      <c r="Q116" s="29" t="s">
        <v>139</v>
      </c>
      <c r="R116" s="29" t="s">
        <v>32</v>
      </c>
    </row>
    <row r="117" spans="1:18">
      <c r="A117" s="29">
        <v>10116</v>
      </c>
      <c r="B117" s="30">
        <v>44677</v>
      </c>
      <c r="C117" s="29">
        <v>1724</v>
      </c>
      <c r="D117" s="29" t="s">
        <v>19</v>
      </c>
      <c r="E117" s="29" t="s">
        <v>21</v>
      </c>
      <c r="F117" s="29">
        <v>4</v>
      </c>
      <c r="G117" s="31">
        <v>261.01</v>
      </c>
      <c r="H117" s="32">
        <v>0.25</v>
      </c>
      <c r="I117" s="31" t="s">
        <v>16</v>
      </c>
      <c r="J117" s="29">
        <v>10</v>
      </c>
      <c r="K117" s="33">
        <v>2.5</v>
      </c>
      <c r="L117" s="31">
        <v>783.03</v>
      </c>
      <c r="M117" s="29" t="str">
        <f t="shared" si="4"/>
        <v>Apr-22</v>
      </c>
      <c r="N117" s="29" t="str">
        <f t="shared" si="5"/>
        <v>OK</v>
      </c>
      <c r="O117" s="29" t="str">
        <f t="shared" si="6"/>
        <v>Delayed</v>
      </c>
      <c r="P117" s="29" t="str">
        <f t="shared" si="7"/>
        <v>Average</v>
      </c>
      <c r="Q117" s="29" t="s">
        <v>140</v>
      </c>
      <c r="R117" s="29" t="s">
        <v>35</v>
      </c>
    </row>
    <row r="118" spans="1:18">
      <c r="A118" s="29">
        <v>10117</v>
      </c>
      <c r="B118" s="30">
        <v>44678</v>
      </c>
      <c r="C118" s="29">
        <v>1719</v>
      </c>
      <c r="D118" s="29" t="s">
        <v>19</v>
      </c>
      <c r="E118" s="29" t="s">
        <v>21</v>
      </c>
      <c r="F118" s="29">
        <v>4</v>
      </c>
      <c r="G118" s="31">
        <v>72.84</v>
      </c>
      <c r="H118" s="32">
        <v>0.09</v>
      </c>
      <c r="I118" s="31" t="s">
        <v>16</v>
      </c>
      <c r="J118" s="29">
        <v>10</v>
      </c>
      <c r="K118" s="33">
        <v>4.9</v>
      </c>
      <c r="L118" s="31">
        <v>265.14</v>
      </c>
      <c r="M118" s="29" t="str">
        <f t="shared" si="4"/>
        <v>Apr-22</v>
      </c>
      <c r="N118" s="29" t="str">
        <f t="shared" si="5"/>
        <v>OK</v>
      </c>
      <c r="O118" s="29" t="str">
        <f t="shared" si="6"/>
        <v>Delayed</v>
      </c>
      <c r="P118" s="29" t="str">
        <f t="shared" si="7"/>
        <v>Excellent</v>
      </c>
      <c r="Q118" s="29" t="s">
        <v>141</v>
      </c>
      <c r="R118" s="29" t="s">
        <v>35</v>
      </c>
    </row>
    <row r="119" spans="1:18">
      <c r="A119" s="29">
        <v>10118</v>
      </c>
      <c r="B119" s="30">
        <v>44679</v>
      </c>
      <c r="C119" s="29">
        <v>1748</v>
      </c>
      <c r="D119" s="29" t="s">
        <v>19</v>
      </c>
      <c r="E119" s="29" t="s">
        <v>13</v>
      </c>
      <c r="F119" s="29">
        <v>1</v>
      </c>
      <c r="G119" s="31">
        <v>39.78</v>
      </c>
      <c r="H119" s="32">
        <v>0.28</v>
      </c>
      <c r="I119" s="31" t="s">
        <v>16</v>
      </c>
      <c r="J119" s="29">
        <v>2</v>
      </c>
      <c r="K119" s="33">
        <v>4.2</v>
      </c>
      <c r="L119" s="31">
        <v>28.64</v>
      </c>
      <c r="M119" s="29" t="str">
        <f t="shared" si="4"/>
        <v>Apr-22</v>
      </c>
      <c r="N119" s="29" t="str">
        <f t="shared" si="5"/>
        <v>OK</v>
      </c>
      <c r="O119" s="29" t="str">
        <f t="shared" si="6"/>
        <v>Fast</v>
      </c>
      <c r="P119" s="29" t="str">
        <f t="shared" si="7"/>
        <v>Good</v>
      </c>
      <c r="Q119" s="29" t="s">
        <v>142</v>
      </c>
      <c r="R119" s="29" t="s">
        <v>35</v>
      </c>
    </row>
    <row r="120" spans="1:18">
      <c r="A120" s="29">
        <v>10119</v>
      </c>
      <c r="B120" s="30">
        <v>44680</v>
      </c>
      <c r="C120" s="29">
        <v>1337</v>
      </c>
      <c r="D120" s="29" t="s">
        <v>15</v>
      </c>
      <c r="E120" s="29" t="s">
        <v>13</v>
      </c>
      <c r="F120" s="29">
        <v>6</v>
      </c>
      <c r="G120" s="31">
        <v>409.26</v>
      </c>
      <c r="H120" s="32">
        <v>0.33</v>
      </c>
      <c r="I120" s="31" t="s">
        <v>18</v>
      </c>
      <c r="J120" s="29">
        <v>10</v>
      </c>
      <c r="K120" s="33">
        <v>4.7</v>
      </c>
      <c r="L120" s="31">
        <v>1645.23</v>
      </c>
      <c r="M120" s="29" t="str">
        <f t="shared" si="4"/>
        <v>Apr-22</v>
      </c>
      <c r="N120" s="29" t="str">
        <f t="shared" si="5"/>
        <v>OK</v>
      </c>
      <c r="O120" s="29" t="str">
        <f t="shared" si="6"/>
        <v>Delayed</v>
      </c>
      <c r="P120" s="29" t="str">
        <f t="shared" si="7"/>
        <v>Excellent</v>
      </c>
      <c r="Q120" s="29" t="s">
        <v>143</v>
      </c>
      <c r="R120" s="29" t="s">
        <v>32</v>
      </c>
    </row>
    <row r="121" spans="1:18">
      <c r="A121" s="29">
        <v>10120</v>
      </c>
      <c r="B121" s="30">
        <v>44681</v>
      </c>
      <c r="C121" s="29">
        <v>1878</v>
      </c>
      <c r="D121" s="29" t="s">
        <v>15</v>
      </c>
      <c r="E121" s="29" t="s">
        <v>21</v>
      </c>
      <c r="F121" s="29">
        <v>4</v>
      </c>
      <c r="G121" s="31">
        <v>329.34</v>
      </c>
      <c r="H121" s="32">
        <v>0.16</v>
      </c>
      <c r="I121" s="31" t="s">
        <v>18</v>
      </c>
      <c r="J121" s="29">
        <v>7</v>
      </c>
      <c r="K121" s="33">
        <v>3.2</v>
      </c>
      <c r="L121" s="31">
        <v>1106.58</v>
      </c>
      <c r="M121" s="29" t="str">
        <f t="shared" si="4"/>
        <v>Apr-22</v>
      </c>
      <c r="N121" s="29" t="str">
        <f t="shared" si="5"/>
        <v>OK</v>
      </c>
      <c r="O121" s="29" t="str">
        <f t="shared" si="6"/>
        <v>Standard</v>
      </c>
      <c r="P121" s="29" t="str">
        <f t="shared" si="7"/>
        <v>Average</v>
      </c>
      <c r="Q121" s="29" t="s">
        <v>144</v>
      </c>
      <c r="R121" s="29" t="s">
        <v>32</v>
      </c>
    </row>
    <row r="122" spans="1:18">
      <c r="A122" s="29">
        <v>10121</v>
      </c>
      <c r="B122" s="30">
        <v>44682</v>
      </c>
      <c r="C122" s="29">
        <v>1052</v>
      </c>
      <c r="D122" s="29" t="s">
        <v>15</v>
      </c>
      <c r="E122" s="29" t="s">
        <v>17</v>
      </c>
      <c r="F122" s="29">
        <v>6</v>
      </c>
      <c r="G122" s="31">
        <v>274.82</v>
      </c>
      <c r="H122" s="32">
        <v>0.25</v>
      </c>
      <c r="I122" s="31" t="s">
        <v>18</v>
      </c>
      <c r="J122" s="29">
        <v>5</v>
      </c>
      <c r="K122" s="33">
        <v>3.7</v>
      </c>
      <c r="L122" s="31">
        <v>1236.69</v>
      </c>
      <c r="M122" s="29" t="str">
        <f t="shared" si="4"/>
        <v>May-22</v>
      </c>
      <c r="N122" s="29" t="str">
        <f t="shared" si="5"/>
        <v>OK</v>
      </c>
      <c r="O122" s="29" t="str">
        <f t="shared" si="6"/>
        <v>Standard</v>
      </c>
      <c r="P122" s="29" t="str">
        <f t="shared" si="7"/>
        <v>Good</v>
      </c>
      <c r="Q122" s="29" t="s">
        <v>145</v>
      </c>
      <c r="R122" s="29" t="s">
        <v>32</v>
      </c>
    </row>
    <row r="123" spans="1:18">
      <c r="A123" s="29">
        <v>10122</v>
      </c>
      <c r="B123" s="30">
        <v>44683</v>
      </c>
      <c r="C123" s="29">
        <v>1791</v>
      </c>
      <c r="D123" s="29" t="s">
        <v>15</v>
      </c>
      <c r="E123" s="29" t="s">
        <v>17</v>
      </c>
      <c r="F123" s="29">
        <v>7</v>
      </c>
      <c r="G123" s="31">
        <v>386.15</v>
      </c>
      <c r="H123" s="32">
        <v>0.26</v>
      </c>
      <c r="I123" s="31" t="s">
        <v>16</v>
      </c>
      <c r="J123" s="29">
        <v>1</v>
      </c>
      <c r="K123" s="33">
        <v>1.7</v>
      </c>
      <c r="L123" s="31">
        <v>2000.26</v>
      </c>
      <c r="M123" s="29" t="str">
        <f t="shared" si="4"/>
        <v>May-22</v>
      </c>
      <c r="N123" s="29" t="str">
        <f t="shared" si="5"/>
        <v>OK</v>
      </c>
      <c r="O123" s="29" t="str">
        <f t="shared" si="6"/>
        <v>Fast</v>
      </c>
      <c r="P123" s="29" t="str">
        <f t="shared" si="7"/>
        <v>Low</v>
      </c>
      <c r="Q123" s="29" t="s">
        <v>146</v>
      </c>
      <c r="R123" s="29" t="s">
        <v>32</v>
      </c>
    </row>
    <row r="124" spans="1:18">
      <c r="A124" s="29">
        <v>10123</v>
      </c>
      <c r="B124" s="30">
        <v>44684</v>
      </c>
      <c r="C124" s="29">
        <v>1921</v>
      </c>
      <c r="D124" s="29" t="s">
        <v>15</v>
      </c>
      <c r="E124" s="29" t="s">
        <v>20</v>
      </c>
      <c r="F124" s="29">
        <v>7</v>
      </c>
      <c r="G124" s="31">
        <v>499.19</v>
      </c>
      <c r="H124" s="32">
        <v>0.23</v>
      </c>
      <c r="I124" s="31" t="s">
        <v>14</v>
      </c>
      <c r="J124" s="29">
        <v>10</v>
      </c>
      <c r="K124" s="33">
        <v>4</v>
      </c>
      <c r="L124" s="31">
        <v>2690.63</v>
      </c>
      <c r="M124" s="29" t="str">
        <f t="shared" si="4"/>
        <v>May-22</v>
      </c>
      <c r="N124" s="29" t="str">
        <f t="shared" si="5"/>
        <v>OK</v>
      </c>
      <c r="O124" s="29" t="str">
        <f t="shared" si="6"/>
        <v>Delayed</v>
      </c>
      <c r="P124" s="29" t="str">
        <f t="shared" si="7"/>
        <v>Good</v>
      </c>
      <c r="Q124" s="29" t="s">
        <v>147</v>
      </c>
      <c r="R124" s="29" t="s">
        <v>32</v>
      </c>
    </row>
    <row r="125" spans="1:18">
      <c r="A125" s="29">
        <v>10124</v>
      </c>
      <c r="B125" s="30">
        <v>44685</v>
      </c>
      <c r="C125" s="29">
        <v>1216</v>
      </c>
      <c r="D125" s="29" t="s">
        <v>19</v>
      </c>
      <c r="E125" s="29" t="s">
        <v>21</v>
      </c>
      <c r="F125" s="29">
        <v>2</v>
      </c>
      <c r="G125" s="31">
        <v>265.2</v>
      </c>
      <c r="H125" s="32">
        <v>0.19</v>
      </c>
      <c r="I125" s="31" t="s">
        <v>14</v>
      </c>
      <c r="J125" s="29">
        <v>8</v>
      </c>
      <c r="K125" s="33">
        <v>1.9</v>
      </c>
      <c r="L125" s="31">
        <v>429.62</v>
      </c>
      <c r="M125" s="29" t="str">
        <f t="shared" si="4"/>
        <v>May-22</v>
      </c>
      <c r="N125" s="29" t="str">
        <f t="shared" si="5"/>
        <v>OK</v>
      </c>
      <c r="O125" s="29" t="str">
        <f t="shared" si="6"/>
        <v>Delayed</v>
      </c>
      <c r="P125" s="29" t="str">
        <f t="shared" si="7"/>
        <v>Low</v>
      </c>
      <c r="Q125" s="29" t="s">
        <v>148</v>
      </c>
      <c r="R125" s="29" t="s">
        <v>35</v>
      </c>
    </row>
    <row r="126" spans="1:18">
      <c r="A126" s="29">
        <v>10125</v>
      </c>
      <c r="B126" s="30">
        <v>44686</v>
      </c>
      <c r="C126" s="29">
        <v>1763</v>
      </c>
      <c r="D126" s="29" t="s">
        <v>15</v>
      </c>
      <c r="E126" s="29" t="s">
        <v>21</v>
      </c>
      <c r="F126" s="29">
        <v>5</v>
      </c>
      <c r="G126" s="31">
        <v>390.05</v>
      </c>
      <c r="H126" s="32">
        <v>0.31</v>
      </c>
      <c r="I126" s="31" t="s">
        <v>16</v>
      </c>
      <c r="J126" s="29">
        <v>3</v>
      </c>
      <c r="K126" s="33">
        <v>1.6</v>
      </c>
      <c r="L126" s="31">
        <v>1345.67</v>
      </c>
      <c r="M126" s="29" t="str">
        <f t="shared" si="4"/>
        <v>May-22</v>
      </c>
      <c r="N126" s="29" t="str">
        <f t="shared" si="5"/>
        <v>OK</v>
      </c>
      <c r="O126" s="29" t="str">
        <f t="shared" si="6"/>
        <v>Fast</v>
      </c>
      <c r="P126" s="29" t="str">
        <f t="shared" si="7"/>
        <v>Low</v>
      </c>
      <c r="Q126" s="29" t="s">
        <v>149</v>
      </c>
      <c r="R126" s="29" t="s">
        <v>32</v>
      </c>
    </row>
    <row r="127" spans="1:18">
      <c r="A127" s="29">
        <v>10126</v>
      </c>
      <c r="B127" s="30">
        <v>44687</v>
      </c>
      <c r="C127" s="29">
        <v>1187</v>
      </c>
      <c r="D127" s="29" t="s">
        <v>12</v>
      </c>
      <c r="E127" s="29" t="s">
        <v>20</v>
      </c>
      <c r="F127" s="29">
        <v>6</v>
      </c>
      <c r="G127" s="31">
        <v>572.84</v>
      </c>
      <c r="H127" s="32">
        <v>0.16</v>
      </c>
      <c r="I127" s="31" t="s">
        <v>18</v>
      </c>
      <c r="J127" s="29">
        <v>11</v>
      </c>
      <c r="K127" s="33">
        <v>1.2</v>
      </c>
      <c r="L127" s="31">
        <v>2887.11</v>
      </c>
      <c r="M127" s="29" t="str">
        <f t="shared" si="4"/>
        <v>May-22</v>
      </c>
      <c r="N127" s="29" t="str">
        <f t="shared" si="5"/>
        <v>OK</v>
      </c>
      <c r="O127" s="29" t="str">
        <f t="shared" si="6"/>
        <v>Delayed</v>
      </c>
      <c r="P127" s="29" t="str">
        <f t="shared" si="7"/>
        <v>Low</v>
      </c>
      <c r="Q127" s="29" t="s">
        <v>150</v>
      </c>
      <c r="R127" s="29" t="s">
        <v>30</v>
      </c>
    </row>
    <row r="128" spans="1:18">
      <c r="A128" s="29">
        <v>10127</v>
      </c>
      <c r="B128" s="30">
        <v>44688</v>
      </c>
      <c r="C128" s="29">
        <v>1379</v>
      </c>
      <c r="D128" s="29" t="s">
        <v>15</v>
      </c>
      <c r="E128" s="29" t="s">
        <v>13</v>
      </c>
      <c r="F128" s="29">
        <v>7</v>
      </c>
      <c r="G128" s="31">
        <v>506.18</v>
      </c>
      <c r="H128" s="32">
        <v>0.02</v>
      </c>
      <c r="I128" s="31" t="s">
        <v>14</v>
      </c>
      <c r="J128" s="29">
        <v>7</v>
      </c>
      <c r="K128" s="33">
        <v>2.9</v>
      </c>
      <c r="L128" s="31">
        <v>3472.39</v>
      </c>
      <c r="M128" s="29" t="str">
        <f t="shared" si="4"/>
        <v>May-22</v>
      </c>
      <c r="N128" s="29" t="str">
        <f t="shared" si="5"/>
        <v>OK</v>
      </c>
      <c r="O128" s="29" t="str">
        <f t="shared" si="6"/>
        <v>Standard</v>
      </c>
      <c r="P128" s="29" t="str">
        <f t="shared" si="7"/>
        <v>Average</v>
      </c>
      <c r="Q128" s="29" t="s">
        <v>151</v>
      </c>
      <c r="R128" s="29" t="s">
        <v>32</v>
      </c>
    </row>
    <row r="129" spans="1:18">
      <c r="A129" s="29">
        <v>10128</v>
      </c>
      <c r="B129" s="30">
        <v>44689</v>
      </c>
      <c r="C129" s="29">
        <v>1492</v>
      </c>
      <c r="D129" s="29" t="s">
        <v>22</v>
      </c>
      <c r="E129" s="29" t="s">
        <v>13</v>
      </c>
      <c r="F129" s="29">
        <v>5</v>
      </c>
      <c r="G129" s="31">
        <v>264.21</v>
      </c>
      <c r="H129" s="32">
        <v>0.3</v>
      </c>
      <c r="I129" s="31" t="s">
        <v>18</v>
      </c>
      <c r="J129" s="29">
        <v>6</v>
      </c>
      <c r="K129" s="33">
        <v>2.1</v>
      </c>
      <c r="L129" s="31">
        <v>924.73</v>
      </c>
      <c r="M129" s="29" t="str">
        <f t="shared" si="4"/>
        <v>May-22</v>
      </c>
      <c r="N129" s="29" t="str">
        <f t="shared" si="5"/>
        <v>Check</v>
      </c>
      <c r="O129" s="29" t="str">
        <f t="shared" si="6"/>
        <v>Standard</v>
      </c>
      <c r="P129" s="29" t="str">
        <f t="shared" si="7"/>
        <v>Low</v>
      </c>
      <c r="Q129" s="29" t="s">
        <v>152</v>
      </c>
      <c r="R129" s="29" t="s">
        <v>51</v>
      </c>
    </row>
    <row r="130" spans="1:18">
      <c r="A130" s="29">
        <v>10129</v>
      </c>
      <c r="B130" s="30">
        <v>44690</v>
      </c>
      <c r="C130" s="29">
        <v>1040</v>
      </c>
      <c r="D130" s="29" t="s">
        <v>19</v>
      </c>
      <c r="E130" s="29" t="s">
        <v>17</v>
      </c>
      <c r="F130" s="29">
        <v>4</v>
      </c>
      <c r="G130" s="31">
        <v>392.16</v>
      </c>
      <c r="H130" s="32">
        <v>0.24</v>
      </c>
      <c r="I130" s="31" t="s">
        <v>16</v>
      </c>
      <c r="J130" s="29">
        <v>10</v>
      </c>
      <c r="K130" s="33">
        <v>4.9</v>
      </c>
      <c r="L130" s="31">
        <v>1192.17</v>
      </c>
      <c r="M130" s="29" t="str">
        <f t="shared" ref="M130:M193" si="8">TEXT(B130,"mmm-yy")</f>
        <v>May-22</v>
      </c>
      <c r="N130" s="29" t="str">
        <f t="shared" ref="N130:N193" si="9">IF(ROUND(L130,2)=ROUND(F130*G130*(1-H130),2),"OK","Check")</f>
        <v>OK</v>
      </c>
      <c r="O130" s="29" t="str">
        <f t="shared" ref="O130:O193" si="10">IF(J130&lt;=3,"Fast",IF(J130&lt;=7,"Standard","Delayed"))</f>
        <v>Delayed</v>
      </c>
      <c r="P130" s="29" t="str">
        <f t="shared" ref="P130:P193" si="11">IF(K130&gt;=4.5,"Excellent",IF(K130&gt;=3.5,"Good",IF(K130&gt;=2.5,"Average","Low")))</f>
        <v>Excellent</v>
      </c>
      <c r="Q130" s="29" t="s">
        <v>153</v>
      </c>
      <c r="R130" s="29" t="s">
        <v>35</v>
      </c>
    </row>
    <row r="131" spans="1:18">
      <c r="A131" s="29">
        <v>10130</v>
      </c>
      <c r="B131" s="30">
        <v>44691</v>
      </c>
      <c r="C131" s="29">
        <v>1156</v>
      </c>
      <c r="D131" s="29" t="s">
        <v>22</v>
      </c>
      <c r="E131" s="29" t="s">
        <v>21</v>
      </c>
      <c r="F131" s="29">
        <v>5</v>
      </c>
      <c r="G131" s="31">
        <v>118.59</v>
      </c>
      <c r="H131" s="32">
        <v>0.3</v>
      </c>
      <c r="I131" s="31" t="s">
        <v>18</v>
      </c>
      <c r="J131" s="29">
        <v>6</v>
      </c>
      <c r="K131" s="33">
        <v>2</v>
      </c>
      <c r="L131" s="31">
        <v>415.06</v>
      </c>
      <c r="M131" s="29" t="str">
        <f t="shared" si="8"/>
        <v>May-22</v>
      </c>
      <c r="N131" s="29" t="str">
        <f t="shared" si="9"/>
        <v>Check</v>
      </c>
      <c r="O131" s="29" t="str">
        <f t="shared" si="10"/>
        <v>Standard</v>
      </c>
      <c r="P131" s="29" t="str">
        <f t="shared" si="11"/>
        <v>Low</v>
      </c>
      <c r="Q131" s="29" t="s">
        <v>154</v>
      </c>
      <c r="R131" s="29" t="s">
        <v>51</v>
      </c>
    </row>
    <row r="132" spans="1:18">
      <c r="A132" s="29">
        <v>10131</v>
      </c>
      <c r="B132" s="30">
        <v>44692</v>
      </c>
      <c r="C132" s="29">
        <v>1014</v>
      </c>
      <c r="D132" s="29" t="s">
        <v>22</v>
      </c>
      <c r="E132" s="29" t="s">
        <v>13</v>
      </c>
      <c r="F132" s="29">
        <v>5</v>
      </c>
      <c r="G132" s="31">
        <v>342.91</v>
      </c>
      <c r="H132" s="32">
        <v>0.05</v>
      </c>
      <c r="I132" s="31" t="s">
        <v>18</v>
      </c>
      <c r="J132" s="29">
        <v>8</v>
      </c>
      <c r="K132" s="33">
        <v>4.5</v>
      </c>
      <c r="L132" s="31">
        <v>1628.82</v>
      </c>
      <c r="M132" s="29" t="str">
        <f t="shared" si="8"/>
        <v>May-22</v>
      </c>
      <c r="N132" s="29" t="str">
        <f t="shared" si="9"/>
        <v>OK</v>
      </c>
      <c r="O132" s="29" t="str">
        <f t="shared" si="10"/>
        <v>Delayed</v>
      </c>
      <c r="P132" s="29" t="str">
        <f t="shared" si="11"/>
        <v>Excellent</v>
      </c>
      <c r="Q132" s="29" t="s">
        <v>155</v>
      </c>
      <c r="R132" s="29" t="s">
        <v>51</v>
      </c>
    </row>
    <row r="133" spans="1:18">
      <c r="A133" s="29">
        <v>10132</v>
      </c>
      <c r="B133" s="30">
        <v>44693</v>
      </c>
      <c r="C133" s="29">
        <v>1812</v>
      </c>
      <c r="D133" s="29" t="s">
        <v>15</v>
      </c>
      <c r="E133" s="29" t="s">
        <v>17</v>
      </c>
      <c r="F133" s="29">
        <v>4</v>
      </c>
      <c r="G133" s="31">
        <v>589.08</v>
      </c>
      <c r="H133" s="32">
        <v>0.01</v>
      </c>
      <c r="I133" s="31" t="s">
        <v>16</v>
      </c>
      <c r="J133" s="29">
        <v>4</v>
      </c>
      <c r="K133" s="33">
        <v>2.3</v>
      </c>
      <c r="L133" s="31">
        <v>2332.76</v>
      </c>
      <c r="M133" s="29" t="str">
        <f t="shared" si="8"/>
        <v>May-22</v>
      </c>
      <c r="N133" s="29" t="str">
        <f t="shared" si="9"/>
        <v>OK</v>
      </c>
      <c r="O133" s="29" t="str">
        <f t="shared" si="10"/>
        <v>Standard</v>
      </c>
      <c r="P133" s="29" t="str">
        <f t="shared" si="11"/>
        <v>Low</v>
      </c>
      <c r="Q133" s="29" t="s">
        <v>156</v>
      </c>
      <c r="R133" s="29" t="s">
        <v>32</v>
      </c>
    </row>
    <row r="134" spans="1:18">
      <c r="A134" s="29">
        <v>10133</v>
      </c>
      <c r="B134" s="30">
        <v>44694</v>
      </c>
      <c r="C134" s="29">
        <v>1064</v>
      </c>
      <c r="D134" s="29" t="s">
        <v>12</v>
      </c>
      <c r="E134" s="29" t="s">
        <v>17</v>
      </c>
      <c r="F134" s="29">
        <v>6</v>
      </c>
      <c r="G134" s="31">
        <v>318.21</v>
      </c>
      <c r="H134" s="32">
        <v>0.33</v>
      </c>
      <c r="I134" s="31" t="s">
        <v>14</v>
      </c>
      <c r="J134" s="29">
        <v>4</v>
      </c>
      <c r="K134" s="33">
        <v>4</v>
      </c>
      <c r="L134" s="31">
        <v>1279.2</v>
      </c>
      <c r="M134" s="29" t="str">
        <f t="shared" si="8"/>
        <v>May-22</v>
      </c>
      <c r="N134" s="29" t="str">
        <f t="shared" si="9"/>
        <v>OK</v>
      </c>
      <c r="O134" s="29" t="str">
        <f t="shared" si="10"/>
        <v>Standard</v>
      </c>
      <c r="P134" s="29" t="str">
        <f t="shared" si="11"/>
        <v>Good</v>
      </c>
      <c r="Q134" s="29" t="s">
        <v>157</v>
      </c>
      <c r="R134" s="29" t="s">
        <v>30</v>
      </c>
    </row>
    <row r="135" spans="1:18">
      <c r="A135" s="29">
        <v>10134</v>
      </c>
      <c r="B135" s="30">
        <v>44695</v>
      </c>
      <c r="C135" s="29">
        <v>1856</v>
      </c>
      <c r="D135" s="29" t="s">
        <v>19</v>
      </c>
      <c r="E135" s="29" t="s">
        <v>17</v>
      </c>
      <c r="F135" s="29">
        <v>4</v>
      </c>
      <c r="G135" s="31">
        <v>557.67</v>
      </c>
      <c r="H135" s="32">
        <v>0.05</v>
      </c>
      <c r="I135" s="31" t="s">
        <v>18</v>
      </c>
      <c r="J135" s="29">
        <v>3</v>
      </c>
      <c r="K135" s="33">
        <v>3.6</v>
      </c>
      <c r="L135" s="31">
        <v>2119.15</v>
      </c>
      <c r="M135" s="29" t="str">
        <f t="shared" si="8"/>
        <v>May-22</v>
      </c>
      <c r="N135" s="29" t="str">
        <f t="shared" si="9"/>
        <v>OK</v>
      </c>
      <c r="O135" s="29" t="str">
        <f t="shared" si="10"/>
        <v>Fast</v>
      </c>
      <c r="P135" s="29" t="str">
        <f t="shared" si="11"/>
        <v>Good</v>
      </c>
      <c r="Q135" s="29" t="s">
        <v>70</v>
      </c>
      <c r="R135" s="29" t="s">
        <v>35</v>
      </c>
    </row>
    <row r="136" spans="1:18">
      <c r="A136" s="29">
        <v>10135</v>
      </c>
      <c r="B136" s="30">
        <v>44696</v>
      </c>
      <c r="C136" s="29">
        <v>1838</v>
      </c>
      <c r="D136" s="29" t="s">
        <v>19</v>
      </c>
      <c r="E136" s="29" t="s">
        <v>13</v>
      </c>
      <c r="F136" s="29">
        <v>2</v>
      </c>
      <c r="G136" s="31">
        <v>253.29</v>
      </c>
      <c r="H136" s="32">
        <v>0.28</v>
      </c>
      <c r="I136" s="31" t="s">
        <v>16</v>
      </c>
      <c r="J136" s="29">
        <v>1</v>
      </c>
      <c r="K136" s="33">
        <v>3.2</v>
      </c>
      <c r="L136" s="31">
        <v>364.74</v>
      </c>
      <c r="M136" s="29" t="str">
        <f t="shared" si="8"/>
        <v>May-22</v>
      </c>
      <c r="N136" s="29" t="str">
        <f t="shared" si="9"/>
        <v>OK</v>
      </c>
      <c r="O136" s="29" t="str">
        <f t="shared" si="10"/>
        <v>Fast</v>
      </c>
      <c r="P136" s="29" t="str">
        <f t="shared" si="11"/>
        <v>Average</v>
      </c>
      <c r="Q136" s="29" t="s">
        <v>158</v>
      </c>
      <c r="R136" s="29" t="s">
        <v>35</v>
      </c>
    </row>
    <row r="137" spans="1:18">
      <c r="A137" s="29">
        <v>10136</v>
      </c>
      <c r="B137" s="30">
        <v>44697</v>
      </c>
      <c r="C137" s="29">
        <v>1520</v>
      </c>
      <c r="D137" s="29" t="s">
        <v>22</v>
      </c>
      <c r="E137" s="29" t="s">
        <v>13</v>
      </c>
      <c r="F137" s="29">
        <v>3</v>
      </c>
      <c r="G137" s="31">
        <v>599.32</v>
      </c>
      <c r="H137" s="32">
        <v>0.29</v>
      </c>
      <c r="I137" s="31" t="s">
        <v>18</v>
      </c>
      <c r="J137" s="29">
        <v>10</v>
      </c>
      <c r="K137" s="33">
        <v>2.7</v>
      </c>
      <c r="L137" s="31">
        <v>1276.55</v>
      </c>
      <c r="M137" s="29" t="str">
        <f t="shared" si="8"/>
        <v>May-22</v>
      </c>
      <c r="N137" s="29" t="str">
        <f t="shared" si="9"/>
        <v>OK</v>
      </c>
      <c r="O137" s="29" t="str">
        <f t="shared" si="10"/>
        <v>Delayed</v>
      </c>
      <c r="P137" s="29" t="str">
        <f t="shared" si="11"/>
        <v>Average</v>
      </c>
      <c r="Q137" s="29" t="s">
        <v>159</v>
      </c>
      <c r="R137" s="29" t="s">
        <v>51</v>
      </c>
    </row>
    <row r="138" spans="1:18">
      <c r="A138" s="29">
        <v>10137</v>
      </c>
      <c r="B138" s="30">
        <v>44698</v>
      </c>
      <c r="C138" s="29">
        <v>1343</v>
      </c>
      <c r="D138" s="29" t="s">
        <v>22</v>
      </c>
      <c r="E138" s="29" t="s">
        <v>21</v>
      </c>
      <c r="F138" s="29">
        <v>1</v>
      </c>
      <c r="G138" s="31">
        <v>353.84</v>
      </c>
      <c r="H138" s="32">
        <v>0.25</v>
      </c>
      <c r="I138" s="31" t="s">
        <v>18</v>
      </c>
      <c r="J138" s="29">
        <v>3</v>
      </c>
      <c r="K138" s="33">
        <v>3.7</v>
      </c>
      <c r="L138" s="31">
        <v>265.38</v>
      </c>
      <c r="M138" s="29" t="str">
        <f t="shared" si="8"/>
        <v>May-22</v>
      </c>
      <c r="N138" s="29" t="str">
        <f t="shared" si="9"/>
        <v>OK</v>
      </c>
      <c r="O138" s="29" t="str">
        <f t="shared" si="10"/>
        <v>Fast</v>
      </c>
      <c r="P138" s="29" t="str">
        <f t="shared" si="11"/>
        <v>Good</v>
      </c>
      <c r="Q138" s="29" t="s">
        <v>56</v>
      </c>
      <c r="R138" s="29" t="s">
        <v>51</v>
      </c>
    </row>
    <row r="139" spans="1:18">
      <c r="A139" s="29">
        <v>10138</v>
      </c>
      <c r="B139" s="30">
        <v>44699</v>
      </c>
      <c r="C139" s="29">
        <v>1128</v>
      </c>
      <c r="D139" s="29" t="s">
        <v>19</v>
      </c>
      <c r="E139" s="29" t="s">
        <v>21</v>
      </c>
      <c r="F139" s="29">
        <v>4</v>
      </c>
      <c r="G139" s="31">
        <v>39.73</v>
      </c>
      <c r="H139" s="32">
        <v>0.05</v>
      </c>
      <c r="I139" s="31" t="s">
        <v>16</v>
      </c>
      <c r="J139" s="29">
        <v>1</v>
      </c>
      <c r="K139" s="33">
        <v>2.6</v>
      </c>
      <c r="L139" s="31">
        <v>150.97</v>
      </c>
      <c r="M139" s="29" t="str">
        <f t="shared" si="8"/>
        <v>May-22</v>
      </c>
      <c r="N139" s="29" t="str">
        <f t="shared" si="9"/>
        <v>OK</v>
      </c>
      <c r="O139" s="29" t="str">
        <f t="shared" si="10"/>
        <v>Fast</v>
      </c>
      <c r="P139" s="29" t="str">
        <f t="shared" si="11"/>
        <v>Average</v>
      </c>
      <c r="Q139" s="29" t="s">
        <v>160</v>
      </c>
      <c r="R139" s="29" t="s">
        <v>35</v>
      </c>
    </row>
    <row r="140" spans="1:18">
      <c r="A140" s="29">
        <v>10139</v>
      </c>
      <c r="B140" s="30">
        <v>44700</v>
      </c>
      <c r="C140" s="29">
        <v>1647</v>
      </c>
      <c r="D140" s="29" t="s">
        <v>19</v>
      </c>
      <c r="E140" s="29" t="s">
        <v>17</v>
      </c>
      <c r="F140" s="29">
        <v>4</v>
      </c>
      <c r="G140" s="31">
        <v>358.25</v>
      </c>
      <c r="H140" s="32">
        <v>0.23</v>
      </c>
      <c r="I140" s="31" t="s">
        <v>16</v>
      </c>
      <c r="J140" s="29">
        <v>6</v>
      </c>
      <c r="K140" s="33">
        <v>3.2</v>
      </c>
      <c r="L140" s="31">
        <v>1103.41</v>
      </c>
      <c r="M140" s="29" t="str">
        <f t="shared" si="8"/>
        <v>May-22</v>
      </c>
      <c r="N140" s="29" t="str">
        <f t="shared" si="9"/>
        <v>OK</v>
      </c>
      <c r="O140" s="29" t="str">
        <f t="shared" si="10"/>
        <v>Standard</v>
      </c>
      <c r="P140" s="29" t="str">
        <f t="shared" si="11"/>
        <v>Average</v>
      </c>
      <c r="Q140" s="29" t="s">
        <v>161</v>
      </c>
      <c r="R140" s="29" t="s">
        <v>35</v>
      </c>
    </row>
    <row r="141" spans="1:18">
      <c r="A141" s="29">
        <v>10140</v>
      </c>
      <c r="B141" s="30">
        <v>44701</v>
      </c>
      <c r="C141" s="29">
        <v>1471</v>
      </c>
      <c r="D141" s="29" t="s">
        <v>19</v>
      </c>
      <c r="E141" s="29" t="s">
        <v>17</v>
      </c>
      <c r="F141" s="29">
        <v>5</v>
      </c>
      <c r="G141" s="31">
        <v>175.63</v>
      </c>
      <c r="H141" s="32">
        <v>0.31</v>
      </c>
      <c r="I141" s="31" t="s">
        <v>14</v>
      </c>
      <c r="J141" s="29">
        <v>8</v>
      </c>
      <c r="K141" s="33">
        <v>3.4</v>
      </c>
      <c r="L141" s="31">
        <v>605.92</v>
      </c>
      <c r="M141" s="29" t="str">
        <f t="shared" si="8"/>
        <v>May-22</v>
      </c>
      <c r="N141" s="29" t="str">
        <f t="shared" si="9"/>
        <v>OK</v>
      </c>
      <c r="O141" s="29" t="str">
        <f t="shared" si="10"/>
        <v>Delayed</v>
      </c>
      <c r="P141" s="29" t="str">
        <f t="shared" si="11"/>
        <v>Average</v>
      </c>
      <c r="Q141" s="29" t="s">
        <v>162</v>
      </c>
      <c r="R141" s="29" t="s">
        <v>35</v>
      </c>
    </row>
    <row r="142" spans="1:18">
      <c r="A142" s="29">
        <v>10141</v>
      </c>
      <c r="B142" s="30">
        <v>44702</v>
      </c>
      <c r="C142" s="29">
        <v>1062</v>
      </c>
      <c r="D142" s="29" t="s">
        <v>19</v>
      </c>
      <c r="E142" s="29" t="s">
        <v>13</v>
      </c>
      <c r="F142" s="29">
        <v>2</v>
      </c>
      <c r="G142" s="31">
        <v>34</v>
      </c>
      <c r="H142" s="32">
        <v>0.15</v>
      </c>
      <c r="I142" s="31" t="s">
        <v>18</v>
      </c>
      <c r="J142" s="29">
        <v>3</v>
      </c>
      <c r="K142" s="33">
        <v>2.1</v>
      </c>
      <c r="L142" s="31">
        <v>57.8</v>
      </c>
      <c r="M142" s="29" t="str">
        <f t="shared" si="8"/>
        <v>May-22</v>
      </c>
      <c r="N142" s="29" t="str">
        <f t="shared" si="9"/>
        <v>OK</v>
      </c>
      <c r="O142" s="29" t="str">
        <f t="shared" si="10"/>
        <v>Fast</v>
      </c>
      <c r="P142" s="29" t="str">
        <f t="shared" si="11"/>
        <v>Low</v>
      </c>
      <c r="Q142" s="29" t="s">
        <v>163</v>
      </c>
      <c r="R142" s="29" t="s">
        <v>35</v>
      </c>
    </row>
    <row r="143" spans="1:18">
      <c r="A143" s="29">
        <v>10142</v>
      </c>
      <c r="B143" s="30">
        <v>44703</v>
      </c>
      <c r="C143" s="29">
        <v>1138</v>
      </c>
      <c r="D143" s="29" t="s">
        <v>22</v>
      </c>
      <c r="E143" s="29" t="s">
        <v>13</v>
      </c>
      <c r="F143" s="29">
        <v>7</v>
      </c>
      <c r="G143" s="31">
        <v>495.2</v>
      </c>
      <c r="H143" s="32">
        <v>0.14</v>
      </c>
      <c r="I143" s="31" t="s">
        <v>16</v>
      </c>
      <c r="J143" s="29">
        <v>4</v>
      </c>
      <c r="K143" s="33">
        <v>2.4</v>
      </c>
      <c r="L143" s="31">
        <v>2981.1</v>
      </c>
      <c r="M143" s="29" t="str">
        <f t="shared" si="8"/>
        <v>May-22</v>
      </c>
      <c r="N143" s="29" t="str">
        <f t="shared" si="9"/>
        <v>OK</v>
      </c>
      <c r="O143" s="29" t="str">
        <f t="shared" si="10"/>
        <v>Standard</v>
      </c>
      <c r="P143" s="29" t="str">
        <f t="shared" si="11"/>
        <v>Low</v>
      </c>
      <c r="Q143" s="29" t="s">
        <v>164</v>
      </c>
      <c r="R143" s="29" t="s">
        <v>51</v>
      </c>
    </row>
    <row r="144" spans="1:18">
      <c r="A144" s="29">
        <v>10143</v>
      </c>
      <c r="B144" s="30">
        <v>44704</v>
      </c>
      <c r="C144" s="29">
        <v>1498</v>
      </c>
      <c r="D144" s="29" t="s">
        <v>15</v>
      </c>
      <c r="E144" s="29" t="s">
        <v>21</v>
      </c>
      <c r="F144" s="29">
        <v>7</v>
      </c>
      <c r="G144" s="31">
        <v>176.3</v>
      </c>
      <c r="H144" s="32">
        <v>0.16</v>
      </c>
      <c r="I144" s="31" t="s">
        <v>16</v>
      </c>
      <c r="J144" s="29">
        <v>5</v>
      </c>
      <c r="K144" s="33">
        <v>1.1</v>
      </c>
      <c r="L144" s="31">
        <v>1036.64</v>
      </c>
      <c r="M144" s="29" t="str">
        <f t="shared" si="8"/>
        <v>May-22</v>
      </c>
      <c r="N144" s="29" t="str">
        <f t="shared" si="9"/>
        <v>OK</v>
      </c>
      <c r="O144" s="29" t="str">
        <f t="shared" si="10"/>
        <v>Standard</v>
      </c>
      <c r="P144" s="29" t="str">
        <f t="shared" si="11"/>
        <v>Low</v>
      </c>
      <c r="Q144" s="29" t="s">
        <v>165</v>
      </c>
      <c r="R144" s="29" t="s">
        <v>32</v>
      </c>
    </row>
    <row r="145" spans="1:18">
      <c r="A145" s="29">
        <v>10144</v>
      </c>
      <c r="B145" s="30">
        <v>44705</v>
      </c>
      <c r="C145" s="29">
        <v>1592</v>
      </c>
      <c r="D145" s="29" t="s">
        <v>19</v>
      </c>
      <c r="E145" s="29" t="s">
        <v>21</v>
      </c>
      <c r="F145" s="29">
        <v>5</v>
      </c>
      <c r="G145" s="31">
        <v>480.98</v>
      </c>
      <c r="H145" s="32">
        <v>0.03</v>
      </c>
      <c r="I145" s="31" t="s">
        <v>18</v>
      </c>
      <c r="J145" s="29">
        <v>7</v>
      </c>
      <c r="K145" s="33">
        <v>4.4</v>
      </c>
      <c r="L145" s="31">
        <v>2332.75</v>
      </c>
      <c r="M145" s="29" t="str">
        <f t="shared" si="8"/>
        <v>May-22</v>
      </c>
      <c r="N145" s="29" t="str">
        <f t="shared" si="9"/>
        <v>OK</v>
      </c>
      <c r="O145" s="29" t="str">
        <f t="shared" si="10"/>
        <v>Standard</v>
      </c>
      <c r="P145" s="29" t="str">
        <f t="shared" si="11"/>
        <v>Good</v>
      </c>
      <c r="Q145" s="29" t="s">
        <v>166</v>
      </c>
      <c r="R145" s="29" t="s">
        <v>35</v>
      </c>
    </row>
    <row r="146" spans="1:18">
      <c r="A146" s="29">
        <v>10145</v>
      </c>
      <c r="B146" s="30">
        <v>44706</v>
      </c>
      <c r="C146" s="29">
        <v>1391</v>
      </c>
      <c r="D146" s="29" t="s">
        <v>15</v>
      </c>
      <c r="E146" s="29" t="s">
        <v>20</v>
      </c>
      <c r="F146" s="29">
        <v>6</v>
      </c>
      <c r="G146" s="31">
        <v>183.61</v>
      </c>
      <c r="H146" s="32">
        <v>0.31</v>
      </c>
      <c r="I146" s="31" t="s">
        <v>18</v>
      </c>
      <c r="J146" s="29">
        <v>11</v>
      </c>
      <c r="K146" s="33">
        <v>4</v>
      </c>
      <c r="L146" s="31">
        <v>760.15</v>
      </c>
      <c r="M146" s="29" t="str">
        <f t="shared" si="8"/>
        <v>May-22</v>
      </c>
      <c r="N146" s="29" t="str">
        <f t="shared" si="9"/>
        <v>OK</v>
      </c>
      <c r="O146" s="29" t="str">
        <f t="shared" si="10"/>
        <v>Delayed</v>
      </c>
      <c r="P146" s="29" t="str">
        <f t="shared" si="11"/>
        <v>Good</v>
      </c>
      <c r="Q146" s="29" t="s">
        <v>167</v>
      </c>
      <c r="R146" s="29" t="s">
        <v>32</v>
      </c>
    </row>
    <row r="147" spans="1:18">
      <c r="A147" s="29">
        <v>10146</v>
      </c>
      <c r="B147" s="30">
        <v>44707</v>
      </c>
      <c r="C147" s="29">
        <v>1674</v>
      </c>
      <c r="D147" s="29" t="s">
        <v>19</v>
      </c>
      <c r="E147" s="29" t="s">
        <v>21</v>
      </c>
      <c r="F147" s="29">
        <v>4</v>
      </c>
      <c r="G147" s="31">
        <v>128.68</v>
      </c>
      <c r="H147" s="32">
        <v>0.3</v>
      </c>
      <c r="I147" s="31" t="s">
        <v>16</v>
      </c>
      <c r="J147" s="29">
        <v>6</v>
      </c>
      <c r="K147" s="33">
        <v>1.7</v>
      </c>
      <c r="L147" s="31">
        <v>360.3</v>
      </c>
      <c r="M147" s="29" t="str">
        <f t="shared" si="8"/>
        <v>May-22</v>
      </c>
      <c r="N147" s="29" t="str">
        <f t="shared" si="9"/>
        <v>OK</v>
      </c>
      <c r="O147" s="29" t="str">
        <f t="shared" si="10"/>
        <v>Standard</v>
      </c>
      <c r="P147" s="29" t="str">
        <f t="shared" si="11"/>
        <v>Low</v>
      </c>
      <c r="Q147" s="29" t="s">
        <v>168</v>
      </c>
      <c r="R147" s="29" t="s">
        <v>35</v>
      </c>
    </row>
    <row r="148" spans="1:18">
      <c r="A148" s="29">
        <v>10147</v>
      </c>
      <c r="B148" s="30">
        <v>44708</v>
      </c>
      <c r="C148" s="29">
        <v>1418</v>
      </c>
      <c r="D148" s="29" t="s">
        <v>19</v>
      </c>
      <c r="E148" s="29" t="s">
        <v>13</v>
      </c>
      <c r="F148" s="29">
        <v>4</v>
      </c>
      <c r="G148" s="31">
        <v>584.75</v>
      </c>
      <c r="H148" s="32">
        <v>0.35</v>
      </c>
      <c r="I148" s="31" t="s">
        <v>18</v>
      </c>
      <c r="J148" s="29">
        <v>2</v>
      </c>
      <c r="K148" s="33">
        <v>2.4</v>
      </c>
      <c r="L148" s="31">
        <v>1520.35</v>
      </c>
      <c r="M148" s="29" t="str">
        <f t="shared" si="8"/>
        <v>May-22</v>
      </c>
      <c r="N148" s="29" t="str">
        <f t="shared" si="9"/>
        <v>OK</v>
      </c>
      <c r="O148" s="29" t="str">
        <f t="shared" si="10"/>
        <v>Fast</v>
      </c>
      <c r="P148" s="29" t="str">
        <f t="shared" si="11"/>
        <v>Low</v>
      </c>
      <c r="Q148" s="29" t="s">
        <v>169</v>
      </c>
      <c r="R148" s="29" t="s">
        <v>35</v>
      </c>
    </row>
    <row r="149" spans="1:18">
      <c r="A149" s="29">
        <v>10148</v>
      </c>
      <c r="B149" s="30">
        <v>44709</v>
      </c>
      <c r="C149" s="29">
        <v>1288</v>
      </c>
      <c r="D149" s="29" t="s">
        <v>15</v>
      </c>
      <c r="E149" s="29" t="s">
        <v>17</v>
      </c>
      <c r="F149" s="29">
        <v>5</v>
      </c>
      <c r="G149" s="31">
        <v>226.56</v>
      </c>
      <c r="H149" s="32">
        <v>0.2</v>
      </c>
      <c r="I149" s="31" t="s">
        <v>16</v>
      </c>
      <c r="J149" s="29">
        <v>7</v>
      </c>
      <c r="K149" s="33">
        <v>2.7</v>
      </c>
      <c r="L149" s="31">
        <v>906.24</v>
      </c>
      <c r="M149" s="29" t="str">
        <f t="shared" si="8"/>
        <v>May-22</v>
      </c>
      <c r="N149" s="29" t="str">
        <f t="shared" si="9"/>
        <v>OK</v>
      </c>
      <c r="O149" s="29" t="str">
        <f t="shared" si="10"/>
        <v>Standard</v>
      </c>
      <c r="P149" s="29" t="str">
        <f t="shared" si="11"/>
        <v>Average</v>
      </c>
      <c r="Q149" s="29" t="s">
        <v>170</v>
      </c>
      <c r="R149" s="29" t="s">
        <v>32</v>
      </c>
    </row>
    <row r="150" spans="1:18">
      <c r="A150" s="29">
        <v>10149</v>
      </c>
      <c r="B150" s="30">
        <v>44710</v>
      </c>
      <c r="C150" s="29">
        <v>1378</v>
      </c>
      <c r="D150" s="29" t="s">
        <v>12</v>
      </c>
      <c r="E150" s="29" t="s">
        <v>20</v>
      </c>
      <c r="F150" s="29">
        <v>4</v>
      </c>
      <c r="G150" s="31">
        <v>366.81</v>
      </c>
      <c r="H150" s="32">
        <v>0.26</v>
      </c>
      <c r="I150" s="31" t="s">
        <v>16</v>
      </c>
      <c r="J150" s="29">
        <v>8</v>
      </c>
      <c r="K150" s="33">
        <v>2.3</v>
      </c>
      <c r="L150" s="31">
        <v>1085.76</v>
      </c>
      <c r="M150" s="29" t="str">
        <f t="shared" si="8"/>
        <v>May-22</v>
      </c>
      <c r="N150" s="29" t="str">
        <f t="shared" si="9"/>
        <v>OK</v>
      </c>
      <c r="O150" s="29" t="str">
        <f t="shared" si="10"/>
        <v>Delayed</v>
      </c>
      <c r="P150" s="29" t="str">
        <f t="shared" si="11"/>
        <v>Low</v>
      </c>
      <c r="Q150" s="29" t="s">
        <v>171</v>
      </c>
      <c r="R150" s="29" t="s">
        <v>30</v>
      </c>
    </row>
    <row r="151" spans="1:18">
      <c r="A151" s="29">
        <v>10150</v>
      </c>
      <c r="B151" s="30">
        <v>44711</v>
      </c>
      <c r="C151" s="29">
        <v>1772</v>
      </c>
      <c r="D151" s="29" t="s">
        <v>22</v>
      </c>
      <c r="E151" s="29" t="s">
        <v>21</v>
      </c>
      <c r="F151" s="29">
        <v>6</v>
      </c>
      <c r="G151" s="31">
        <v>371.84</v>
      </c>
      <c r="H151" s="32">
        <v>0.07</v>
      </c>
      <c r="I151" s="31" t="s">
        <v>18</v>
      </c>
      <c r="J151" s="29">
        <v>1</v>
      </c>
      <c r="K151" s="33">
        <v>4.2</v>
      </c>
      <c r="L151" s="31">
        <v>2074.87</v>
      </c>
      <c r="M151" s="29" t="str">
        <f t="shared" si="8"/>
        <v>May-22</v>
      </c>
      <c r="N151" s="29" t="str">
        <f t="shared" si="9"/>
        <v>OK</v>
      </c>
      <c r="O151" s="29" t="str">
        <f t="shared" si="10"/>
        <v>Fast</v>
      </c>
      <c r="P151" s="29" t="str">
        <f t="shared" si="11"/>
        <v>Good</v>
      </c>
      <c r="Q151" s="29" t="s">
        <v>172</v>
      </c>
      <c r="R151" s="29" t="s">
        <v>51</v>
      </c>
    </row>
    <row r="152" spans="1:18">
      <c r="A152" s="29">
        <v>10151</v>
      </c>
      <c r="B152" s="30">
        <v>44712</v>
      </c>
      <c r="C152" s="29">
        <v>1489</v>
      </c>
      <c r="D152" s="29" t="s">
        <v>19</v>
      </c>
      <c r="E152" s="29" t="s">
        <v>21</v>
      </c>
      <c r="F152" s="29">
        <v>3</v>
      </c>
      <c r="G152" s="31">
        <v>342.88</v>
      </c>
      <c r="H152" s="32">
        <v>0.23</v>
      </c>
      <c r="I152" s="31" t="s">
        <v>16</v>
      </c>
      <c r="J152" s="29">
        <v>6</v>
      </c>
      <c r="K152" s="33">
        <v>3.9</v>
      </c>
      <c r="L152" s="31">
        <v>792.05</v>
      </c>
      <c r="M152" s="29" t="str">
        <f t="shared" si="8"/>
        <v>May-22</v>
      </c>
      <c r="N152" s="29" t="str">
        <f t="shared" si="9"/>
        <v>OK</v>
      </c>
      <c r="O152" s="29" t="str">
        <f t="shared" si="10"/>
        <v>Standard</v>
      </c>
      <c r="P152" s="29" t="str">
        <f t="shared" si="11"/>
        <v>Good</v>
      </c>
      <c r="Q152" s="29" t="s">
        <v>173</v>
      </c>
      <c r="R152" s="29" t="s">
        <v>35</v>
      </c>
    </row>
    <row r="153" spans="1:18">
      <c r="A153" s="29">
        <v>10152</v>
      </c>
      <c r="B153" s="30">
        <v>44713</v>
      </c>
      <c r="C153" s="29">
        <v>1230</v>
      </c>
      <c r="D153" s="29" t="s">
        <v>12</v>
      </c>
      <c r="E153" s="29" t="s">
        <v>13</v>
      </c>
      <c r="F153" s="29">
        <v>1</v>
      </c>
      <c r="G153" s="31">
        <v>550.1</v>
      </c>
      <c r="H153" s="32">
        <v>0.23</v>
      </c>
      <c r="I153" s="31" t="s">
        <v>14</v>
      </c>
      <c r="J153" s="29">
        <v>11</v>
      </c>
      <c r="K153" s="33">
        <v>4.1</v>
      </c>
      <c r="L153" s="31">
        <v>423.58</v>
      </c>
      <c r="M153" s="29" t="str">
        <f t="shared" si="8"/>
        <v>Jun-22</v>
      </c>
      <c r="N153" s="29" t="str">
        <f t="shared" si="9"/>
        <v>OK</v>
      </c>
      <c r="O153" s="29" t="str">
        <f t="shared" si="10"/>
        <v>Delayed</v>
      </c>
      <c r="P153" s="29" t="str">
        <f t="shared" si="11"/>
        <v>Good</v>
      </c>
      <c r="Q153" s="29" t="s">
        <v>174</v>
      </c>
      <c r="R153" s="29" t="s">
        <v>30</v>
      </c>
    </row>
    <row r="154" spans="1:18">
      <c r="A154" s="29">
        <v>10153</v>
      </c>
      <c r="B154" s="30">
        <v>44714</v>
      </c>
      <c r="C154" s="29">
        <v>1040</v>
      </c>
      <c r="D154" s="29" t="s">
        <v>22</v>
      </c>
      <c r="E154" s="29" t="s">
        <v>20</v>
      </c>
      <c r="F154" s="29">
        <v>1</v>
      </c>
      <c r="G154" s="31">
        <v>409.55</v>
      </c>
      <c r="H154" s="32">
        <v>0.32</v>
      </c>
      <c r="I154" s="31" t="s">
        <v>16</v>
      </c>
      <c r="J154" s="29">
        <v>9</v>
      </c>
      <c r="K154" s="33">
        <v>4.6</v>
      </c>
      <c r="L154" s="31">
        <v>278.49</v>
      </c>
      <c r="M154" s="29" t="str">
        <f t="shared" si="8"/>
        <v>Jun-22</v>
      </c>
      <c r="N154" s="29" t="str">
        <f t="shared" si="9"/>
        <v>OK</v>
      </c>
      <c r="O154" s="29" t="str">
        <f t="shared" si="10"/>
        <v>Delayed</v>
      </c>
      <c r="P154" s="29" t="str">
        <f t="shared" si="11"/>
        <v>Excellent</v>
      </c>
      <c r="Q154" s="29" t="s">
        <v>153</v>
      </c>
      <c r="R154" s="29" t="s">
        <v>51</v>
      </c>
    </row>
    <row r="155" spans="1:18">
      <c r="A155" s="29">
        <v>10154</v>
      </c>
      <c r="B155" s="30">
        <v>44715</v>
      </c>
      <c r="C155" s="29">
        <v>1027</v>
      </c>
      <c r="D155" s="29" t="s">
        <v>22</v>
      </c>
      <c r="E155" s="29" t="s">
        <v>21</v>
      </c>
      <c r="F155" s="29">
        <v>1</v>
      </c>
      <c r="G155" s="31">
        <v>251.18</v>
      </c>
      <c r="H155" s="32">
        <v>0.29</v>
      </c>
      <c r="I155" s="31" t="s">
        <v>18</v>
      </c>
      <c r="J155" s="29">
        <v>7</v>
      </c>
      <c r="K155" s="33">
        <v>3.4</v>
      </c>
      <c r="L155" s="31">
        <v>178.34</v>
      </c>
      <c r="M155" s="29" t="str">
        <f t="shared" si="8"/>
        <v>Jun-22</v>
      </c>
      <c r="N155" s="29" t="str">
        <f t="shared" si="9"/>
        <v>OK</v>
      </c>
      <c r="O155" s="29" t="str">
        <f t="shared" si="10"/>
        <v>Standard</v>
      </c>
      <c r="P155" s="29" t="str">
        <f t="shared" si="11"/>
        <v>Average</v>
      </c>
      <c r="Q155" s="29" t="s">
        <v>175</v>
      </c>
      <c r="R155" s="29" t="s">
        <v>51</v>
      </c>
    </row>
    <row r="156" spans="1:18">
      <c r="A156" s="29">
        <v>10155</v>
      </c>
      <c r="B156" s="30">
        <v>44716</v>
      </c>
      <c r="C156" s="29">
        <v>1134</v>
      </c>
      <c r="D156" s="29" t="s">
        <v>15</v>
      </c>
      <c r="E156" s="29" t="s">
        <v>17</v>
      </c>
      <c r="F156" s="29">
        <v>3</v>
      </c>
      <c r="G156" s="31">
        <v>519.49</v>
      </c>
      <c r="H156" s="32">
        <v>0.33</v>
      </c>
      <c r="I156" s="31" t="s">
        <v>16</v>
      </c>
      <c r="J156" s="29">
        <v>5</v>
      </c>
      <c r="K156" s="33">
        <v>3.5</v>
      </c>
      <c r="L156" s="31">
        <v>1044.17</v>
      </c>
      <c r="M156" s="29" t="str">
        <f t="shared" si="8"/>
        <v>Jun-22</v>
      </c>
      <c r="N156" s="29" t="str">
        <f t="shared" si="9"/>
        <v>OK</v>
      </c>
      <c r="O156" s="29" t="str">
        <f t="shared" si="10"/>
        <v>Standard</v>
      </c>
      <c r="P156" s="29" t="str">
        <f t="shared" si="11"/>
        <v>Good</v>
      </c>
      <c r="Q156" s="29" t="s">
        <v>176</v>
      </c>
      <c r="R156" s="29" t="s">
        <v>32</v>
      </c>
    </row>
    <row r="157" spans="1:18">
      <c r="A157" s="29">
        <v>10156</v>
      </c>
      <c r="B157" s="30">
        <v>44717</v>
      </c>
      <c r="C157" s="29">
        <v>1200</v>
      </c>
      <c r="D157" s="29" t="s">
        <v>15</v>
      </c>
      <c r="E157" s="29" t="s">
        <v>13</v>
      </c>
      <c r="F157" s="29">
        <v>4</v>
      </c>
      <c r="G157" s="31">
        <v>120.92</v>
      </c>
      <c r="H157" s="32">
        <v>0.3</v>
      </c>
      <c r="I157" s="31" t="s">
        <v>16</v>
      </c>
      <c r="J157" s="29">
        <v>10</v>
      </c>
      <c r="K157" s="33">
        <v>3.9</v>
      </c>
      <c r="L157" s="31">
        <v>338.58</v>
      </c>
      <c r="M157" s="29" t="str">
        <f t="shared" si="8"/>
        <v>Jun-22</v>
      </c>
      <c r="N157" s="29" t="str">
        <f t="shared" si="9"/>
        <v>OK</v>
      </c>
      <c r="O157" s="29" t="str">
        <f t="shared" si="10"/>
        <v>Delayed</v>
      </c>
      <c r="P157" s="29" t="str">
        <f t="shared" si="11"/>
        <v>Good</v>
      </c>
      <c r="Q157" s="29" t="s">
        <v>177</v>
      </c>
      <c r="R157" s="29" t="s">
        <v>32</v>
      </c>
    </row>
    <row r="158" spans="1:18">
      <c r="A158" s="29">
        <v>10157</v>
      </c>
      <c r="B158" s="30">
        <v>44718</v>
      </c>
      <c r="C158" s="29">
        <v>1839</v>
      </c>
      <c r="D158" s="29" t="s">
        <v>19</v>
      </c>
      <c r="E158" s="29" t="s">
        <v>20</v>
      </c>
      <c r="F158" s="29">
        <v>5</v>
      </c>
      <c r="G158" s="31">
        <v>333.38</v>
      </c>
      <c r="H158" s="32">
        <v>0.3</v>
      </c>
      <c r="I158" s="31" t="s">
        <v>18</v>
      </c>
      <c r="J158" s="29">
        <v>11</v>
      </c>
      <c r="K158" s="33">
        <v>3.7</v>
      </c>
      <c r="L158" s="31">
        <v>1166.83</v>
      </c>
      <c r="M158" s="29" t="str">
        <f t="shared" si="8"/>
        <v>Jun-22</v>
      </c>
      <c r="N158" s="29" t="str">
        <f t="shared" si="9"/>
        <v>OK</v>
      </c>
      <c r="O158" s="29" t="str">
        <f t="shared" si="10"/>
        <v>Delayed</v>
      </c>
      <c r="P158" s="29" t="str">
        <f t="shared" si="11"/>
        <v>Good</v>
      </c>
      <c r="Q158" s="29" t="s">
        <v>178</v>
      </c>
      <c r="R158" s="29" t="s">
        <v>35</v>
      </c>
    </row>
    <row r="159" spans="1:18">
      <c r="A159" s="29">
        <v>10158</v>
      </c>
      <c r="B159" s="30">
        <v>44719</v>
      </c>
      <c r="C159" s="29">
        <v>1779</v>
      </c>
      <c r="D159" s="29" t="s">
        <v>19</v>
      </c>
      <c r="E159" s="29" t="s">
        <v>21</v>
      </c>
      <c r="F159" s="29">
        <v>7</v>
      </c>
      <c r="G159" s="31">
        <v>571.07</v>
      </c>
      <c r="H159" s="32">
        <v>0.02</v>
      </c>
      <c r="I159" s="31" t="s">
        <v>18</v>
      </c>
      <c r="J159" s="29">
        <v>10</v>
      </c>
      <c r="K159" s="33">
        <v>4.5</v>
      </c>
      <c r="L159" s="31">
        <v>3917.54</v>
      </c>
      <c r="M159" s="29" t="str">
        <f t="shared" si="8"/>
        <v>Jun-22</v>
      </c>
      <c r="N159" s="29" t="str">
        <f t="shared" si="9"/>
        <v>OK</v>
      </c>
      <c r="O159" s="29" t="str">
        <f t="shared" si="10"/>
        <v>Delayed</v>
      </c>
      <c r="P159" s="29" t="str">
        <f t="shared" si="11"/>
        <v>Excellent</v>
      </c>
      <c r="Q159" s="29" t="s">
        <v>179</v>
      </c>
      <c r="R159" s="29" t="s">
        <v>35</v>
      </c>
    </row>
    <row r="160" spans="1:18">
      <c r="A160" s="29">
        <v>10159</v>
      </c>
      <c r="B160" s="30">
        <v>44720</v>
      </c>
      <c r="C160" s="29">
        <v>1929</v>
      </c>
      <c r="D160" s="29" t="s">
        <v>19</v>
      </c>
      <c r="E160" s="29" t="s">
        <v>21</v>
      </c>
      <c r="F160" s="29">
        <v>2</v>
      </c>
      <c r="G160" s="31">
        <v>380.86</v>
      </c>
      <c r="H160" s="32">
        <v>0.3</v>
      </c>
      <c r="I160" s="31" t="s">
        <v>18</v>
      </c>
      <c r="J160" s="29">
        <v>9</v>
      </c>
      <c r="K160" s="33">
        <v>4.1</v>
      </c>
      <c r="L160" s="31">
        <v>533.2</v>
      </c>
      <c r="M160" s="29" t="str">
        <f t="shared" si="8"/>
        <v>Jun-22</v>
      </c>
      <c r="N160" s="29" t="str">
        <f t="shared" si="9"/>
        <v>OK</v>
      </c>
      <c r="O160" s="29" t="str">
        <f t="shared" si="10"/>
        <v>Delayed</v>
      </c>
      <c r="P160" s="29" t="str">
        <f t="shared" si="11"/>
        <v>Good</v>
      </c>
      <c r="Q160" s="29" t="s">
        <v>180</v>
      </c>
      <c r="R160" s="29" t="s">
        <v>35</v>
      </c>
    </row>
    <row r="161" spans="1:18">
      <c r="A161" s="29">
        <v>10160</v>
      </c>
      <c r="B161" s="30">
        <v>44721</v>
      </c>
      <c r="C161" s="29">
        <v>1032</v>
      </c>
      <c r="D161" s="29" t="s">
        <v>19</v>
      </c>
      <c r="E161" s="29" t="s">
        <v>20</v>
      </c>
      <c r="F161" s="29">
        <v>4</v>
      </c>
      <c r="G161" s="31">
        <v>492.93</v>
      </c>
      <c r="H161" s="32">
        <v>0.21</v>
      </c>
      <c r="I161" s="31" t="s">
        <v>18</v>
      </c>
      <c r="J161" s="29">
        <v>2</v>
      </c>
      <c r="K161" s="33">
        <v>1.5</v>
      </c>
      <c r="L161" s="31">
        <v>1557.66</v>
      </c>
      <c r="M161" s="29" t="str">
        <f t="shared" si="8"/>
        <v>Jun-22</v>
      </c>
      <c r="N161" s="29" t="str">
        <f t="shared" si="9"/>
        <v>OK</v>
      </c>
      <c r="O161" s="29" t="str">
        <f t="shared" si="10"/>
        <v>Fast</v>
      </c>
      <c r="P161" s="29" t="str">
        <f t="shared" si="11"/>
        <v>Low</v>
      </c>
      <c r="Q161" s="29" t="s">
        <v>181</v>
      </c>
      <c r="R161" s="29" t="s">
        <v>35</v>
      </c>
    </row>
    <row r="162" spans="1:18">
      <c r="A162" s="29">
        <v>10161</v>
      </c>
      <c r="B162" s="30">
        <v>44722</v>
      </c>
      <c r="C162" s="29">
        <v>1047</v>
      </c>
      <c r="D162" s="29" t="s">
        <v>15</v>
      </c>
      <c r="E162" s="29" t="s">
        <v>13</v>
      </c>
      <c r="F162" s="29">
        <v>3</v>
      </c>
      <c r="G162" s="31">
        <v>397.33</v>
      </c>
      <c r="H162" s="32">
        <v>0.13</v>
      </c>
      <c r="I162" s="31" t="s">
        <v>18</v>
      </c>
      <c r="J162" s="29">
        <v>7</v>
      </c>
      <c r="K162" s="33">
        <v>4.7</v>
      </c>
      <c r="L162" s="31">
        <v>1037.03</v>
      </c>
      <c r="M162" s="29" t="str">
        <f t="shared" si="8"/>
        <v>Jun-22</v>
      </c>
      <c r="N162" s="29" t="str">
        <f t="shared" si="9"/>
        <v>OK</v>
      </c>
      <c r="O162" s="29" t="str">
        <f t="shared" si="10"/>
        <v>Standard</v>
      </c>
      <c r="P162" s="29" t="str">
        <f t="shared" si="11"/>
        <v>Excellent</v>
      </c>
      <c r="Q162" s="29" t="s">
        <v>182</v>
      </c>
      <c r="R162" s="29" t="s">
        <v>32</v>
      </c>
    </row>
    <row r="163" spans="1:18">
      <c r="A163" s="29">
        <v>10162</v>
      </c>
      <c r="B163" s="30">
        <v>44723</v>
      </c>
      <c r="C163" s="29">
        <v>1502</v>
      </c>
      <c r="D163" s="29" t="s">
        <v>22</v>
      </c>
      <c r="E163" s="29" t="s">
        <v>20</v>
      </c>
      <c r="F163" s="29">
        <v>6</v>
      </c>
      <c r="G163" s="31">
        <v>506.03</v>
      </c>
      <c r="H163" s="32">
        <v>0.02</v>
      </c>
      <c r="I163" s="31" t="s">
        <v>18</v>
      </c>
      <c r="J163" s="29">
        <v>9</v>
      </c>
      <c r="K163" s="33">
        <v>3.7</v>
      </c>
      <c r="L163" s="31">
        <v>2975.46</v>
      </c>
      <c r="M163" s="29" t="str">
        <f t="shared" si="8"/>
        <v>Jun-22</v>
      </c>
      <c r="N163" s="29" t="str">
        <f t="shared" si="9"/>
        <v>OK</v>
      </c>
      <c r="O163" s="29" t="str">
        <f t="shared" si="10"/>
        <v>Delayed</v>
      </c>
      <c r="P163" s="29" t="str">
        <f t="shared" si="11"/>
        <v>Good</v>
      </c>
      <c r="Q163" s="29" t="s">
        <v>183</v>
      </c>
      <c r="R163" s="29" t="s">
        <v>51</v>
      </c>
    </row>
    <row r="164" spans="1:18">
      <c r="A164" s="29">
        <v>10163</v>
      </c>
      <c r="B164" s="30">
        <v>44724</v>
      </c>
      <c r="C164" s="29">
        <v>1406</v>
      </c>
      <c r="D164" s="29" t="s">
        <v>15</v>
      </c>
      <c r="E164" s="29" t="s">
        <v>20</v>
      </c>
      <c r="F164" s="29">
        <v>3</v>
      </c>
      <c r="G164" s="31">
        <v>567.53</v>
      </c>
      <c r="H164" s="32">
        <v>0.24</v>
      </c>
      <c r="I164" s="31" t="s">
        <v>18</v>
      </c>
      <c r="J164" s="29">
        <v>2</v>
      </c>
      <c r="K164" s="33">
        <v>1.5</v>
      </c>
      <c r="L164" s="31">
        <v>1293.97</v>
      </c>
      <c r="M164" s="29" t="str">
        <f t="shared" si="8"/>
        <v>Jun-22</v>
      </c>
      <c r="N164" s="29" t="str">
        <f t="shared" si="9"/>
        <v>OK</v>
      </c>
      <c r="O164" s="29" t="str">
        <f t="shared" si="10"/>
        <v>Fast</v>
      </c>
      <c r="P164" s="29" t="str">
        <f t="shared" si="11"/>
        <v>Low</v>
      </c>
      <c r="Q164" s="29" t="s">
        <v>184</v>
      </c>
      <c r="R164" s="29" t="s">
        <v>32</v>
      </c>
    </row>
    <row r="165" spans="1:18">
      <c r="A165" s="29">
        <v>10164</v>
      </c>
      <c r="B165" s="30">
        <v>44725</v>
      </c>
      <c r="C165" s="29">
        <v>1573</v>
      </c>
      <c r="D165" s="29" t="s">
        <v>19</v>
      </c>
      <c r="E165" s="29" t="s">
        <v>13</v>
      </c>
      <c r="F165" s="29">
        <v>7</v>
      </c>
      <c r="G165" s="31">
        <v>174.66</v>
      </c>
      <c r="H165" s="32">
        <v>0.11</v>
      </c>
      <c r="I165" s="31" t="s">
        <v>18</v>
      </c>
      <c r="J165" s="29">
        <v>11</v>
      </c>
      <c r="K165" s="33">
        <v>4.1</v>
      </c>
      <c r="L165" s="31">
        <v>1088.13</v>
      </c>
      <c r="M165" s="29" t="str">
        <f t="shared" si="8"/>
        <v>Jun-22</v>
      </c>
      <c r="N165" s="29" t="str">
        <f t="shared" si="9"/>
        <v>OK</v>
      </c>
      <c r="O165" s="29" t="str">
        <f t="shared" si="10"/>
        <v>Delayed</v>
      </c>
      <c r="P165" s="29" t="str">
        <f t="shared" si="11"/>
        <v>Good</v>
      </c>
      <c r="Q165" s="29" t="s">
        <v>185</v>
      </c>
      <c r="R165" s="29" t="s">
        <v>35</v>
      </c>
    </row>
    <row r="166" spans="1:18">
      <c r="A166" s="29">
        <v>10165</v>
      </c>
      <c r="B166" s="30">
        <v>44726</v>
      </c>
      <c r="C166" s="29">
        <v>1727</v>
      </c>
      <c r="D166" s="29" t="s">
        <v>12</v>
      </c>
      <c r="E166" s="29" t="s">
        <v>21</v>
      </c>
      <c r="F166" s="29">
        <v>1</v>
      </c>
      <c r="G166" s="31">
        <v>114.25</v>
      </c>
      <c r="H166" s="32">
        <v>0.16</v>
      </c>
      <c r="I166" s="31" t="s">
        <v>18</v>
      </c>
      <c r="J166" s="29">
        <v>10</v>
      </c>
      <c r="K166" s="33">
        <v>2.4</v>
      </c>
      <c r="L166" s="31">
        <v>95.97</v>
      </c>
      <c r="M166" s="29" t="str">
        <f t="shared" si="8"/>
        <v>Jun-22</v>
      </c>
      <c r="N166" s="29" t="str">
        <f t="shared" si="9"/>
        <v>OK</v>
      </c>
      <c r="O166" s="29" t="str">
        <f t="shared" si="10"/>
        <v>Delayed</v>
      </c>
      <c r="P166" s="29" t="str">
        <f t="shared" si="11"/>
        <v>Low</v>
      </c>
      <c r="Q166" s="29" t="s">
        <v>186</v>
      </c>
      <c r="R166" s="29" t="s">
        <v>30</v>
      </c>
    </row>
    <row r="167" spans="1:18">
      <c r="A167" s="29">
        <v>10166</v>
      </c>
      <c r="B167" s="30">
        <v>44727</v>
      </c>
      <c r="C167" s="29">
        <v>1804</v>
      </c>
      <c r="D167" s="29" t="s">
        <v>12</v>
      </c>
      <c r="E167" s="29" t="s">
        <v>17</v>
      </c>
      <c r="F167" s="29">
        <v>4</v>
      </c>
      <c r="G167" s="31">
        <v>298.13</v>
      </c>
      <c r="H167" s="32">
        <v>0.24</v>
      </c>
      <c r="I167" s="31" t="s">
        <v>14</v>
      </c>
      <c r="J167" s="29">
        <v>6</v>
      </c>
      <c r="K167" s="33">
        <v>4.2</v>
      </c>
      <c r="L167" s="31">
        <v>906.32</v>
      </c>
      <c r="M167" s="29" t="str">
        <f t="shared" si="8"/>
        <v>Jun-22</v>
      </c>
      <c r="N167" s="29" t="str">
        <f t="shared" si="9"/>
        <v>OK</v>
      </c>
      <c r="O167" s="29" t="str">
        <f t="shared" si="10"/>
        <v>Standard</v>
      </c>
      <c r="P167" s="29" t="str">
        <f t="shared" si="11"/>
        <v>Good</v>
      </c>
      <c r="Q167" s="29" t="s">
        <v>187</v>
      </c>
      <c r="R167" s="29" t="s">
        <v>30</v>
      </c>
    </row>
    <row r="168" spans="1:18">
      <c r="A168" s="29">
        <v>10167</v>
      </c>
      <c r="B168" s="30">
        <v>44728</v>
      </c>
      <c r="C168" s="29">
        <v>1098</v>
      </c>
      <c r="D168" s="29" t="s">
        <v>22</v>
      </c>
      <c r="E168" s="29" t="s">
        <v>13</v>
      </c>
      <c r="F168" s="29">
        <v>7</v>
      </c>
      <c r="G168" s="31">
        <v>425.59</v>
      </c>
      <c r="H168" s="32">
        <v>0.32</v>
      </c>
      <c r="I168" s="31" t="s">
        <v>16</v>
      </c>
      <c r="J168" s="29">
        <v>9</v>
      </c>
      <c r="K168" s="33">
        <v>4.8</v>
      </c>
      <c r="L168" s="31">
        <v>2025.81</v>
      </c>
      <c r="M168" s="29" t="str">
        <f t="shared" si="8"/>
        <v>Jun-22</v>
      </c>
      <c r="N168" s="29" t="str">
        <f t="shared" si="9"/>
        <v>OK</v>
      </c>
      <c r="O168" s="29" t="str">
        <f t="shared" si="10"/>
        <v>Delayed</v>
      </c>
      <c r="P168" s="29" t="str">
        <f t="shared" si="11"/>
        <v>Excellent</v>
      </c>
      <c r="Q168" s="29" t="s">
        <v>188</v>
      </c>
      <c r="R168" s="29" t="s">
        <v>51</v>
      </c>
    </row>
    <row r="169" spans="1:18">
      <c r="A169" s="29">
        <v>10168</v>
      </c>
      <c r="B169" s="30">
        <v>44729</v>
      </c>
      <c r="C169" s="29">
        <v>1683</v>
      </c>
      <c r="D169" s="29" t="s">
        <v>12</v>
      </c>
      <c r="E169" s="29" t="s">
        <v>17</v>
      </c>
      <c r="F169" s="29">
        <v>1</v>
      </c>
      <c r="G169" s="31">
        <v>147.91</v>
      </c>
      <c r="H169" s="32">
        <v>0.29</v>
      </c>
      <c r="I169" s="31" t="s">
        <v>18</v>
      </c>
      <c r="J169" s="29">
        <v>3</v>
      </c>
      <c r="K169" s="33">
        <v>2</v>
      </c>
      <c r="L169" s="31">
        <v>105.02</v>
      </c>
      <c r="M169" s="29" t="str">
        <f t="shared" si="8"/>
        <v>Jun-22</v>
      </c>
      <c r="N169" s="29" t="str">
        <f t="shared" si="9"/>
        <v>OK</v>
      </c>
      <c r="O169" s="29" t="str">
        <f t="shared" si="10"/>
        <v>Fast</v>
      </c>
      <c r="P169" s="29" t="str">
        <f t="shared" si="11"/>
        <v>Low</v>
      </c>
      <c r="Q169" s="29" t="s">
        <v>189</v>
      </c>
      <c r="R169" s="29" t="s">
        <v>30</v>
      </c>
    </row>
    <row r="170" spans="1:18">
      <c r="A170" s="29">
        <v>10169</v>
      </c>
      <c r="B170" s="30">
        <v>44730</v>
      </c>
      <c r="C170" s="29">
        <v>1871</v>
      </c>
      <c r="D170" s="29" t="s">
        <v>15</v>
      </c>
      <c r="E170" s="29" t="s">
        <v>21</v>
      </c>
      <c r="F170" s="29">
        <v>2</v>
      </c>
      <c r="G170" s="31">
        <v>17.4</v>
      </c>
      <c r="H170" s="32">
        <v>0.16</v>
      </c>
      <c r="I170" s="31" t="s">
        <v>16</v>
      </c>
      <c r="J170" s="29">
        <v>8</v>
      </c>
      <c r="K170" s="33">
        <v>4.4</v>
      </c>
      <c r="L170" s="31">
        <v>29.23</v>
      </c>
      <c r="M170" s="29" t="str">
        <f t="shared" si="8"/>
        <v>Jun-22</v>
      </c>
      <c r="N170" s="29" t="str">
        <f t="shared" si="9"/>
        <v>OK</v>
      </c>
      <c r="O170" s="29" t="str">
        <f t="shared" si="10"/>
        <v>Delayed</v>
      </c>
      <c r="P170" s="29" t="str">
        <f t="shared" si="11"/>
        <v>Good</v>
      </c>
      <c r="Q170" s="29" t="s">
        <v>49</v>
      </c>
      <c r="R170" s="29" t="s">
        <v>32</v>
      </c>
    </row>
    <row r="171" spans="1:18">
      <c r="A171" s="29">
        <v>10170</v>
      </c>
      <c r="B171" s="30">
        <v>44731</v>
      </c>
      <c r="C171" s="29">
        <v>1725</v>
      </c>
      <c r="D171" s="29" t="s">
        <v>12</v>
      </c>
      <c r="E171" s="29" t="s">
        <v>20</v>
      </c>
      <c r="F171" s="29">
        <v>6</v>
      </c>
      <c r="G171" s="31">
        <v>215.62</v>
      </c>
      <c r="H171" s="32">
        <v>0.14</v>
      </c>
      <c r="I171" s="31" t="s">
        <v>16</v>
      </c>
      <c r="J171" s="29">
        <v>5</v>
      </c>
      <c r="K171" s="33">
        <v>4.1</v>
      </c>
      <c r="L171" s="31">
        <v>1112.6</v>
      </c>
      <c r="M171" s="29" t="str">
        <f t="shared" si="8"/>
        <v>Jun-22</v>
      </c>
      <c r="N171" s="29" t="str">
        <f t="shared" si="9"/>
        <v>OK</v>
      </c>
      <c r="O171" s="29" t="str">
        <f t="shared" si="10"/>
        <v>Standard</v>
      </c>
      <c r="P171" s="29" t="str">
        <f t="shared" si="11"/>
        <v>Good</v>
      </c>
      <c r="Q171" s="29" t="s">
        <v>190</v>
      </c>
      <c r="R171" s="29" t="s">
        <v>30</v>
      </c>
    </row>
    <row r="172" spans="1:18">
      <c r="A172" s="29">
        <v>10171</v>
      </c>
      <c r="B172" s="30">
        <v>44732</v>
      </c>
      <c r="C172" s="29">
        <v>1986</v>
      </c>
      <c r="D172" s="29" t="s">
        <v>19</v>
      </c>
      <c r="E172" s="29" t="s">
        <v>17</v>
      </c>
      <c r="F172" s="29">
        <v>1</v>
      </c>
      <c r="G172" s="31">
        <v>581.78</v>
      </c>
      <c r="H172" s="32">
        <v>0.08</v>
      </c>
      <c r="I172" s="31" t="s">
        <v>16</v>
      </c>
      <c r="J172" s="29">
        <v>7</v>
      </c>
      <c r="K172" s="33">
        <v>3.7</v>
      </c>
      <c r="L172" s="31">
        <v>535.24</v>
      </c>
      <c r="M172" s="29" t="str">
        <f t="shared" si="8"/>
        <v>Jun-22</v>
      </c>
      <c r="N172" s="29" t="str">
        <f t="shared" si="9"/>
        <v>OK</v>
      </c>
      <c r="O172" s="29" t="str">
        <f t="shared" si="10"/>
        <v>Standard</v>
      </c>
      <c r="P172" s="29" t="str">
        <f t="shared" si="11"/>
        <v>Good</v>
      </c>
      <c r="Q172" s="29" t="s">
        <v>191</v>
      </c>
      <c r="R172" s="29" t="s">
        <v>35</v>
      </c>
    </row>
    <row r="173" spans="1:18">
      <c r="A173" s="29">
        <v>10172</v>
      </c>
      <c r="B173" s="30">
        <v>44733</v>
      </c>
      <c r="C173" s="29">
        <v>1546</v>
      </c>
      <c r="D173" s="29" t="s">
        <v>15</v>
      </c>
      <c r="E173" s="29" t="s">
        <v>21</v>
      </c>
      <c r="F173" s="29">
        <v>2</v>
      </c>
      <c r="G173" s="31">
        <v>421.56</v>
      </c>
      <c r="H173" s="32">
        <v>0.13</v>
      </c>
      <c r="I173" s="31" t="s">
        <v>14</v>
      </c>
      <c r="J173" s="29">
        <v>3</v>
      </c>
      <c r="K173" s="33">
        <v>2.5</v>
      </c>
      <c r="L173" s="31">
        <v>733.51</v>
      </c>
      <c r="M173" s="29" t="str">
        <f t="shared" si="8"/>
        <v>Jun-22</v>
      </c>
      <c r="N173" s="29" t="str">
        <f t="shared" si="9"/>
        <v>OK</v>
      </c>
      <c r="O173" s="29" t="str">
        <f t="shared" si="10"/>
        <v>Fast</v>
      </c>
      <c r="P173" s="29" t="str">
        <f t="shared" si="11"/>
        <v>Average</v>
      </c>
      <c r="Q173" s="29" t="s">
        <v>192</v>
      </c>
      <c r="R173" s="29" t="s">
        <v>32</v>
      </c>
    </row>
    <row r="174" spans="1:18">
      <c r="A174" s="29">
        <v>10173</v>
      </c>
      <c r="B174" s="30">
        <v>44734</v>
      </c>
      <c r="C174" s="29">
        <v>1960</v>
      </c>
      <c r="D174" s="29" t="s">
        <v>19</v>
      </c>
      <c r="E174" s="29" t="s">
        <v>21</v>
      </c>
      <c r="F174" s="29">
        <v>3</v>
      </c>
      <c r="G174" s="31">
        <v>249.78</v>
      </c>
      <c r="H174" s="32">
        <v>0.04</v>
      </c>
      <c r="I174" s="31" t="s">
        <v>18</v>
      </c>
      <c r="J174" s="29">
        <v>8</v>
      </c>
      <c r="K174" s="33">
        <v>1.4</v>
      </c>
      <c r="L174" s="31">
        <v>719.37</v>
      </c>
      <c r="M174" s="29" t="str">
        <f t="shared" si="8"/>
        <v>Jun-22</v>
      </c>
      <c r="N174" s="29" t="str">
        <f t="shared" si="9"/>
        <v>OK</v>
      </c>
      <c r="O174" s="29" t="str">
        <f t="shared" si="10"/>
        <v>Delayed</v>
      </c>
      <c r="P174" s="29" t="str">
        <f t="shared" si="11"/>
        <v>Low</v>
      </c>
      <c r="Q174" s="29" t="s">
        <v>193</v>
      </c>
      <c r="R174" s="29" t="s">
        <v>35</v>
      </c>
    </row>
    <row r="175" spans="1:18">
      <c r="A175" s="29">
        <v>10174</v>
      </c>
      <c r="B175" s="30">
        <v>44735</v>
      </c>
      <c r="C175" s="29">
        <v>1738</v>
      </c>
      <c r="D175" s="29" t="s">
        <v>19</v>
      </c>
      <c r="E175" s="29" t="s">
        <v>20</v>
      </c>
      <c r="F175" s="29">
        <v>1</v>
      </c>
      <c r="G175" s="31">
        <v>127.66</v>
      </c>
      <c r="H175" s="32">
        <v>0.34</v>
      </c>
      <c r="I175" s="31" t="s">
        <v>18</v>
      </c>
      <c r="J175" s="29">
        <v>2</v>
      </c>
      <c r="K175" s="33">
        <v>2.9</v>
      </c>
      <c r="L175" s="31">
        <v>84.26</v>
      </c>
      <c r="M175" s="29" t="str">
        <f t="shared" si="8"/>
        <v>Jun-22</v>
      </c>
      <c r="N175" s="29" t="str">
        <f t="shared" si="9"/>
        <v>OK</v>
      </c>
      <c r="O175" s="29" t="str">
        <f t="shared" si="10"/>
        <v>Fast</v>
      </c>
      <c r="P175" s="29" t="str">
        <f t="shared" si="11"/>
        <v>Average</v>
      </c>
      <c r="Q175" s="29" t="s">
        <v>194</v>
      </c>
      <c r="R175" s="29" t="s">
        <v>35</v>
      </c>
    </row>
    <row r="176" spans="1:18">
      <c r="A176" s="29">
        <v>10175</v>
      </c>
      <c r="B176" s="30">
        <v>44736</v>
      </c>
      <c r="C176" s="29">
        <v>1612</v>
      </c>
      <c r="D176" s="29" t="s">
        <v>19</v>
      </c>
      <c r="E176" s="29" t="s">
        <v>20</v>
      </c>
      <c r="F176" s="29">
        <v>1</v>
      </c>
      <c r="G176" s="31">
        <v>223.31</v>
      </c>
      <c r="H176" s="32">
        <v>0.2</v>
      </c>
      <c r="I176" s="31" t="s">
        <v>16</v>
      </c>
      <c r="J176" s="29">
        <v>8</v>
      </c>
      <c r="K176" s="33">
        <v>1.4</v>
      </c>
      <c r="L176" s="31">
        <v>178.65</v>
      </c>
      <c r="M176" s="29" t="str">
        <f t="shared" si="8"/>
        <v>Jun-22</v>
      </c>
      <c r="N176" s="29" t="str">
        <f t="shared" si="9"/>
        <v>OK</v>
      </c>
      <c r="O176" s="29" t="str">
        <f t="shared" si="10"/>
        <v>Delayed</v>
      </c>
      <c r="P176" s="29" t="str">
        <f t="shared" si="11"/>
        <v>Low</v>
      </c>
      <c r="Q176" s="29" t="s">
        <v>195</v>
      </c>
      <c r="R176" s="29" t="s">
        <v>35</v>
      </c>
    </row>
    <row r="177" spans="1:18">
      <c r="A177" s="29">
        <v>10176</v>
      </c>
      <c r="B177" s="30">
        <v>44737</v>
      </c>
      <c r="C177" s="29">
        <v>1942</v>
      </c>
      <c r="D177" s="29" t="s">
        <v>15</v>
      </c>
      <c r="E177" s="29" t="s">
        <v>21</v>
      </c>
      <c r="F177" s="29">
        <v>5</v>
      </c>
      <c r="G177" s="31">
        <v>114.36</v>
      </c>
      <c r="H177" s="32">
        <v>0.04</v>
      </c>
      <c r="I177" s="31" t="s">
        <v>18</v>
      </c>
      <c r="J177" s="29">
        <v>2</v>
      </c>
      <c r="K177" s="33">
        <v>3</v>
      </c>
      <c r="L177" s="31">
        <v>548.93</v>
      </c>
      <c r="M177" s="29" t="str">
        <f t="shared" si="8"/>
        <v>Jun-22</v>
      </c>
      <c r="N177" s="29" t="str">
        <f t="shared" si="9"/>
        <v>OK</v>
      </c>
      <c r="O177" s="29" t="str">
        <f t="shared" si="10"/>
        <v>Fast</v>
      </c>
      <c r="P177" s="29" t="str">
        <f t="shared" si="11"/>
        <v>Average</v>
      </c>
      <c r="Q177" s="29" t="s">
        <v>111</v>
      </c>
      <c r="R177" s="29" t="s">
        <v>32</v>
      </c>
    </row>
    <row r="178" spans="1:18">
      <c r="A178" s="29">
        <v>10177</v>
      </c>
      <c r="B178" s="30">
        <v>44738</v>
      </c>
      <c r="C178" s="29">
        <v>1461</v>
      </c>
      <c r="D178" s="29" t="s">
        <v>22</v>
      </c>
      <c r="E178" s="29" t="s">
        <v>21</v>
      </c>
      <c r="F178" s="29">
        <v>6</v>
      </c>
      <c r="G178" s="31">
        <v>77.19</v>
      </c>
      <c r="H178" s="32">
        <v>0.12</v>
      </c>
      <c r="I178" s="31" t="s">
        <v>14</v>
      </c>
      <c r="J178" s="29">
        <v>7</v>
      </c>
      <c r="K178" s="33">
        <v>4.3</v>
      </c>
      <c r="L178" s="31">
        <v>407.56</v>
      </c>
      <c r="M178" s="29" t="str">
        <f t="shared" si="8"/>
        <v>Jun-22</v>
      </c>
      <c r="N178" s="29" t="str">
        <f t="shared" si="9"/>
        <v>OK</v>
      </c>
      <c r="O178" s="29" t="str">
        <f t="shared" si="10"/>
        <v>Standard</v>
      </c>
      <c r="P178" s="29" t="str">
        <f t="shared" si="11"/>
        <v>Good</v>
      </c>
      <c r="Q178" s="29" t="s">
        <v>135</v>
      </c>
      <c r="R178" s="29" t="s">
        <v>51</v>
      </c>
    </row>
    <row r="179" spans="1:18">
      <c r="A179" s="29">
        <v>10178</v>
      </c>
      <c r="B179" s="30">
        <v>44739</v>
      </c>
      <c r="C179" s="29">
        <v>1642</v>
      </c>
      <c r="D179" s="29" t="s">
        <v>15</v>
      </c>
      <c r="E179" s="29" t="s">
        <v>17</v>
      </c>
      <c r="F179" s="29">
        <v>6</v>
      </c>
      <c r="G179" s="31">
        <v>545.44</v>
      </c>
      <c r="H179" s="32">
        <v>0.19</v>
      </c>
      <c r="I179" s="31" t="s">
        <v>16</v>
      </c>
      <c r="J179" s="29">
        <v>2</v>
      </c>
      <c r="K179" s="33">
        <v>5</v>
      </c>
      <c r="L179" s="31">
        <v>2650.84</v>
      </c>
      <c r="M179" s="29" t="str">
        <f t="shared" si="8"/>
        <v>Jun-22</v>
      </c>
      <c r="N179" s="29" t="str">
        <f t="shared" si="9"/>
        <v>OK</v>
      </c>
      <c r="O179" s="29" t="str">
        <f t="shared" si="10"/>
        <v>Fast</v>
      </c>
      <c r="P179" s="29" t="str">
        <f t="shared" si="11"/>
        <v>Excellent</v>
      </c>
      <c r="Q179" s="29" t="s">
        <v>196</v>
      </c>
      <c r="R179" s="29" t="s">
        <v>32</v>
      </c>
    </row>
    <row r="180" spans="1:18">
      <c r="A180" s="29">
        <v>10179</v>
      </c>
      <c r="B180" s="30">
        <v>44740</v>
      </c>
      <c r="C180" s="29">
        <v>1768</v>
      </c>
      <c r="D180" s="29" t="s">
        <v>19</v>
      </c>
      <c r="E180" s="29" t="s">
        <v>21</v>
      </c>
      <c r="F180" s="29">
        <v>7</v>
      </c>
      <c r="G180" s="31">
        <v>598.63</v>
      </c>
      <c r="H180" s="32">
        <v>0.19</v>
      </c>
      <c r="I180" s="31" t="s">
        <v>16</v>
      </c>
      <c r="J180" s="29">
        <v>7</v>
      </c>
      <c r="K180" s="33">
        <v>1.8</v>
      </c>
      <c r="L180" s="31">
        <v>3394.23</v>
      </c>
      <c r="M180" s="29" t="str">
        <f t="shared" si="8"/>
        <v>Jun-22</v>
      </c>
      <c r="N180" s="29" t="str">
        <f t="shared" si="9"/>
        <v>OK</v>
      </c>
      <c r="O180" s="29" t="str">
        <f t="shared" si="10"/>
        <v>Standard</v>
      </c>
      <c r="P180" s="29" t="str">
        <f t="shared" si="11"/>
        <v>Low</v>
      </c>
      <c r="Q180" s="29" t="s">
        <v>197</v>
      </c>
      <c r="R180" s="29" t="s">
        <v>35</v>
      </c>
    </row>
    <row r="181" spans="1:18">
      <c r="A181" s="29">
        <v>10180</v>
      </c>
      <c r="B181" s="30">
        <v>44741</v>
      </c>
      <c r="C181" s="29">
        <v>1004</v>
      </c>
      <c r="D181" s="29" t="s">
        <v>22</v>
      </c>
      <c r="E181" s="29" t="s">
        <v>21</v>
      </c>
      <c r="F181" s="29">
        <v>3</v>
      </c>
      <c r="G181" s="31">
        <v>111.01</v>
      </c>
      <c r="H181" s="32">
        <v>0.01</v>
      </c>
      <c r="I181" s="31" t="s">
        <v>16</v>
      </c>
      <c r="J181" s="29">
        <v>1</v>
      </c>
      <c r="K181" s="33">
        <v>1.8</v>
      </c>
      <c r="L181" s="31">
        <v>329.7</v>
      </c>
      <c r="M181" s="29" t="str">
        <f t="shared" si="8"/>
        <v>Jun-22</v>
      </c>
      <c r="N181" s="29" t="str">
        <f t="shared" si="9"/>
        <v>OK</v>
      </c>
      <c r="O181" s="29" t="str">
        <f t="shared" si="10"/>
        <v>Fast</v>
      </c>
      <c r="P181" s="29" t="str">
        <f t="shared" si="11"/>
        <v>Low</v>
      </c>
      <c r="Q181" s="29" t="s">
        <v>198</v>
      </c>
      <c r="R181" s="29" t="s">
        <v>51</v>
      </c>
    </row>
    <row r="182" spans="1:18">
      <c r="A182" s="29">
        <v>10181</v>
      </c>
      <c r="B182" s="30">
        <v>44742</v>
      </c>
      <c r="C182" s="29">
        <v>1217</v>
      </c>
      <c r="D182" s="29" t="s">
        <v>15</v>
      </c>
      <c r="E182" s="29" t="s">
        <v>17</v>
      </c>
      <c r="F182" s="29">
        <v>5</v>
      </c>
      <c r="G182" s="31">
        <v>46.9</v>
      </c>
      <c r="H182" s="32">
        <v>0.33</v>
      </c>
      <c r="I182" s="31" t="s">
        <v>18</v>
      </c>
      <c r="J182" s="29">
        <v>6</v>
      </c>
      <c r="K182" s="33">
        <v>4.2</v>
      </c>
      <c r="L182" s="31">
        <v>157.11</v>
      </c>
      <c r="M182" s="29" t="str">
        <f t="shared" si="8"/>
        <v>Jun-22</v>
      </c>
      <c r="N182" s="29" t="str">
        <f t="shared" si="9"/>
        <v>Check</v>
      </c>
      <c r="O182" s="29" t="str">
        <f t="shared" si="10"/>
        <v>Standard</v>
      </c>
      <c r="P182" s="29" t="str">
        <f t="shared" si="11"/>
        <v>Good</v>
      </c>
      <c r="Q182" s="29" t="s">
        <v>199</v>
      </c>
      <c r="R182" s="29" t="s">
        <v>32</v>
      </c>
    </row>
    <row r="183" spans="1:18">
      <c r="A183" s="29">
        <v>10182</v>
      </c>
      <c r="B183" s="30">
        <v>44743</v>
      </c>
      <c r="C183" s="29">
        <v>1502</v>
      </c>
      <c r="D183" s="29" t="s">
        <v>15</v>
      </c>
      <c r="E183" s="29" t="s">
        <v>13</v>
      </c>
      <c r="F183" s="29">
        <v>7</v>
      </c>
      <c r="G183" s="31">
        <v>207.89</v>
      </c>
      <c r="H183" s="32">
        <v>0.1</v>
      </c>
      <c r="I183" s="31" t="s">
        <v>18</v>
      </c>
      <c r="J183" s="29">
        <v>10</v>
      </c>
      <c r="K183" s="33">
        <v>2.9</v>
      </c>
      <c r="L183" s="31">
        <v>1309.71</v>
      </c>
      <c r="M183" s="29" t="str">
        <f t="shared" si="8"/>
        <v>Jul-22</v>
      </c>
      <c r="N183" s="29" t="str">
        <f t="shared" si="9"/>
        <v>OK</v>
      </c>
      <c r="O183" s="29" t="str">
        <f t="shared" si="10"/>
        <v>Delayed</v>
      </c>
      <c r="P183" s="29" t="str">
        <f t="shared" si="11"/>
        <v>Average</v>
      </c>
      <c r="Q183" s="29" t="s">
        <v>183</v>
      </c>
      <c r="R183" s="29" t="s">
        <v>32</v>
      </c>
    </row>
    <row r="184" spans="1:18">
      <c r="A184" s="29">
        <v>10183</v>
      </c>
      <c r="B184" s="30">
        <v>44744</v>
      </c>
      <c r="C184" s="29">
        <v>1766</v>
      </c>
      <c r="D184" s="29" t="s">
        <v>22</v>
      </c>
      <c r="E184" s="29" t="s">
        <v>17</v>
      </c>
      <c r="F184" s="29">
        <v>2</v>
      </c>
      <c r="G184" s="31">
        <v>285.07</v>
      </c>
      <c r="H184" s="32">
        <v>0.01</v>
      </c>
      <c r="I184" s="31" t="s">
        <v>18</v>
      </c>
      <c r="J184" s="29">
        <v>7</v>
      </c>
      <c r="K184" s="33">
        <v>4.7</v>
      </c>
      <c r="L184" s="31">
        <v>564.44</v>
      </c>
      <c r="M184" s="29" t="str">
        <f t="shared" si="8"/>
        <v>Jul-22</v>
      </c>
      <c r="N184" s="29" t="str">
        <f t="shared" si="9"/>
        <v>OK</v>
      </c>
      <c r="O184" s="29" t="str">
        <f t="shared" si="10"/>
        <v>Standard</v>
      </c>
      <c r="P184" s="29" t="str">
        <f t="shared" si="11"/>
        <v>Excellent</v>
      </c>
      <c r="Q184" s="29" t="s">
        <v>200</v>
      </c>
      <c r="R184" s="29" t="s">
        <v>51</v>
      </c>
    </row>
    <row r="185" spans="1:18">
      <c r="A185" s="29">
        <v>10184</v>
      </c>
      <c r="B185" s="30">
        <v>44745</v>
      </c>
      <c r="C185" s="29">
        <v>1397</v>
      </c>
      <c r="D185" s="29" t="s">
        <v>19</v>
      </c>
      <c r="E185" s="29" t="s">
        <v>17</v>
      </c>
      <c r="F185" s="29">
        <v>7</v>
      </c>
      <c r="G185" s="31">
        <v>134.82</v>
      </c>
      <c r="H185" s="32">
        <v>0.03</v>
      </c>
      <c r="I185" s="31" t="s">
        <v>18</v>
      </c>
      <c r="J185" s="29">
        <v>4</v>
      </c>
      <c r="K185" s="33">
        <v>4.1</v>
      </c>
      <c r="L185" s="31">
        <v>915.43</v>
      </c>
      <c r="M185" s="29" t="str">
        <f t="shared" si="8"/>
        <v>Jul-22</v>
      </c>
      <c r="N185" s="29" t="str">
        <f t="shared" si="9"/>
        <v>OK</v>
      </c>
      <c r="O185" s="29" t="str">
        <f t="shared" si="10"/>
        <v>Standard</v>
      </c>
      <c r="P185" s="29" t="str">
        <f t="shared" si="11"/>
        <v>Good</v>
      </c>
      <c r="Q185" s="29" t="s">
        <v>201</v>
      </c>
      <c r="R185" s="29" t="s">
        <v>35</v>
      </c>
    </row>
    <row r="186" spans="1:18">
      <c r="A186" s="29">
        <v>10185</v>
      </c>
      <c r="B186" s="30">
        <v>44746</v>
      </c>
      <c r="C186" s="29">
        <v>1870</v>
      </c>
      <c r="D186" s="29" t="s">
        <v>19</v>
      </c>
      <c r="E186" s="29" t="s">
        <v>20</v>
      </c>
      <c r="F186" s="29">
        <v>2</v>
      </c>
      <c r="G186" s="31">
        <v>191.33</v>
      </c>
      <c r="H186" s="32">
        <v>0.2</v>
      </c>
      <c r="I186" s="31" t="s">
        <v>16</v>
      </c>
      <c r="J186" s="29">
        <v>11</v>
      </c>
      <c r="K186" s="33">
        <v>3.9</v>
      </c>
      <c r="L186" s="31">
        <v>306.13</v>
      </c>
      <c r="M186" s="29" t="str">
        <f t="shared" si="8"/>
        <v>Jul-22</v>
      </c>
      <c r="N186" s="29" t="str">
        <f t="shared" si="9"/>
        <v>OK</v>
      </c>
      <c r="O186" s="29" t="str">
        <f t="shared" si="10"/>
        <v>Delayed</v>
      </c>
      <c r="P186" s="29" t="str">
        <f t="shared" si="11"/>
        <v>Good</v>
      </c>
      <c r="Q186" s="29" t="s">
        <v>202</v>
      </c>
      <c r="R186" s="29" t="s">
        <v>35</v>
      </c>
    </row>
    <row r="187" spans="1:18">
      <c r="A187" s="29">
        <v>10186</v>
      </c>
      <c r="B187" s="30">
        <v>44747</v>
      </c>
      <c r="C187" s="29">
        <v>1794</v>
      </c>
      <c r="D187" s="29" t="s">
        <v>12</v>
      </c>
      <c r="E187" s="29" t="s">
        <v>17</v>
      </c>
      <c r="F187" s="29">
        <v>3</v>
      </c>
      <c r="G187" s="31">
        <v>132.51</v>
      </c>
      <c r="H187" s="32">
        <v>0.05</v>
      </c>
      <c r="I187" s="31" t="s">
        <v>18</v>
      </c>
      <c r="J187" s="29">
        <v>11</v>
      </c>
      <c r="K187" s="33">
        <v>1.4</v>
      </c>
      <c r="L187" s="31">
        <v>377.65</v>
      </c>
      <c r="M187" s="29" t="str">
        <f t="shared" si="8"/>
        <v>Jul-22</v>
      </c>
      <c r="N187" s="29" t="str">
        <f t="shared" si="9"/>
        <v>OK</v>
      </c>
      <c r="O187" s="29" t="str">
        <f t="shared" si="10"/>
        <v>Delayed</v>
      </c>
      <c r="P187" s="29" t="str">
        <f t="shared" si="11"/>
        <v>Low</v>
      </c>
      <c r="Q187" s="29" t="s">
        <v>203</v>
      </c>
      <c r="R187" s="29" t="s">
        <v>30</v>
      </c>
    </row>
    <row r="188" spans="1:18">
      <c r="A188" s="29">
        <v>10187</v>
      </c>
      <c r="B188" s="30">
        <v>44748</v>
      </c>
      <c r="C188" s="29">
        <v>1392</v>
      </c>
      <c r="D188" s="29" t="s">
        <v>19</v>
      </c>
      <c r="E188" s="29" t="s">
        <v>21</v>
      </c>
      <c r="F188" s="29">
        <v>6</v>
      </c>
      <c r="G188" s="31">
        <v>467.94</v>
      </c>
      <c r="H188" s="32">
        <v>0.01</v>
      </c>
      <c r="I188" s="31" t="s">
        <v>16</v>
      </c>
      <c r="J188" s="29">
        <v>1</v>
      </c>
      <c r="K188" s="33">
        <v>1.1</v>
      </c>
      <c r="L188" s="31">
        <v>2779.56</v>
      </c>
      <c r="M188" s="29" t="str">
        <f t="shared" si="8"/>
        <v>Jul-22</v>
      </c>
      <c r="N188" s="29" t="str">
        <f t="shared" si="9"/>
        <v>OK</v>
      </c>
      <c r="O188" s="29" t="str">
        <f t="shared" si="10"/>
        <v>Fast</v>
      </c>
      <c r="P188" s="29" t="str">
        <f t="shared" si="11"/>
        <v>Low</v>
      </c>
      <c r="Q188" s="29" t="s">
        <v>204</v>
      </c>
      <c r="R188" s="29" t="s">
        <v>35</v>
      </c>
    </row>
    <row r="189" spans="1:18">
      <c r="A189" s="29">
        <v>10188</v>
      </c>
      <c r="B189" s="30">
        <v>44749</v>
      </c>
      <c r="C189" s="29">
        <v>1206</v>
      </c>
      <c r="D189" s="29" t="s">
        <v>15</v>
      </c>
      <c r="E189" s="29" t="s">
        <v>21</v>
      </c>
      <c r="F189" s="29">
        <v>2</v>
      </c>
      <c r="G189" s="31">
        <v>431.86</v>
      </c>
      <c r="H189" s="32">
        <v>0.13</v>
      </c>
      <c r="I189" s="31" t="s">
        <v>16</v>
      </c>
      <c r="J189" s="29">
        <v>6</v>
      </c>
      <c r="K189" s="33">
        <v>2.3</v>
      </c>
      <c r="L189" s="31">
        <v>751.44</v>
      </c>
      <c r="M189" s="29" t="str">
        <f t="shared" si="8"/>
        <v>Jul-22</v>
      </c>
      <c r="N189" s="29" t="str">
        <f t="shared" si="9"/>
        <v>OK</v>
      </c>
      <c r="O189" s="29" t="str">
        <f t="shared" si="10"/>
        <v>Standard</v>
      </c>
      <c r="P189" s="29" t="str">
        <f t="shared" si="11"/>
        <v>Low</v>
      </c>
      <c r="Q189" s="29" t="s">
        <v>205</v>
      </c>
      <c r="R189" s="29" t="s">
        <v>32</v>
      </c>
    </row>
    <row r="190" spans="1:18">
      <c r="A190" s="29">
        <v>10189</v>
      </c>
      <c r="B190" s="30">
        <v>44750</v>
      </c>
      <c r="C190" s="29">
        <v>1014</v>
      </c>
      <c r="D190" s="29" t="s">
        <v>12</v>
      </c>
      <c r="E190" s="29" t="s">
        <v>21</v>
      </c>
      <c r="F190" s="29">
        <v>3</v>
      </c>
      <c r="G190" s="31">
        <v>386.45</v>
      </c>
      <c r="H190" s="32">
        <v>0.22</v>
      </c>
      <c r="I190" s="31" t="s">
        <v>18</v>
      </c>
      <c r="J190" s="29">
        <v>4</v>
      </c>
      <c r="K190" s="33">
        <v>1.9</v>
      </c>
      <c r="L190" s="31">
        <v>904.29</v>
      </c>
      <c r="M190" s="29" t="str">
        <f t="shared" si="8"/>
        <v>Jul-22</v>
      </c>
      <c r="N190" s="29" t="str">
        <f t="shared" si="9"/>
        <v>OK</v>
      </c>
      <c r="O190" s="29" t="str">
        <f t="shared" si="10"/>
        <v>Standard</v>
      </c>
      <c r="P190" s="29" t="str">
        <f t="shared" si="11"/>
        <v>Low</v>
      </c>
      <c r="Q190" s="29" t="s">
        <v>155</v>
      </c>
      <c r="R190" s="29" t="s">
        <v>30</v>
      </c>
    </row>
    <row r="191" spans="1:18">
      <c r="A191" s="29">
        <v>10190</v>
      </c>
      <c r="B191" s="30">
        <v>44751</v>
      </c>
      <c r="C191" s="29">
        <v>1857</v>
      </c>
      <c r="D191" s="29" t="s">
        <v>22</v>
      </c>
      <c r="E191" s="29" t="s">
        <v>13</v>
      </c>
      <c r="F191" s="29">
        <v>7</v>
      </c>
      <c r="G191" s="31">
        <v>241.52</v>
      </c>
      <c r="H191" s="32">
        <v>0.04</v>
      </c>
      <c r="I191" s="31" t="s">
        <v>14</v>
      </c>
      <c r="J191" s="29">
        <v>3</v>
      </c>
      <c r="K191" s="33">
        <v>3.8</v>
      </c>
      <c r="L191" s="31">
        <v>1623.01</v>
      </c>
      <c r="M191" s="29" t="str">
        <f t="shared" si="8"/>
        <v>Jul-22</v>
      </c>
      <c r="N191" s="29" t="str">
        <f t="shared" si="9"/>
        <v>OK</v>
      </c>
      <c r="O191" s="29" t="str">
        <f t="shared" si="10"/>
        <v>Fast</v>
      </c>
      <c r="P191" s="29" t="str">
        <f t="shared" si="11"/>
        <v>Good</v>
      </c>
      <c r="Q191" s="29" t="s">
        <v>206</v>
      </c>
      <c r="R191" s="29" t="s">
        <v>51</v>
      </c>
    </row>
    <row r="192" spans="1:18">
      <c r="A192" s="29">
        <v>10191</v>
      </c>
      <c r="B192" s="30">
        <v>44752</v>
      </c>
      <c r="C192" s="29">
        <v>1553</v>
      </c>
      <c r="D192" s="29" t="s">
        <v>19</v>
      </c>
      <c r="E192" s="29" t="s">
        <v>21</v>
      </c>
      <c r="F192" s="29">
        <v>2</v>
      </c>
      <c r="G192" s="31">
        <v>546.79</v>
      </c>
      <c r="H192" s="32">
        <v>0.11</v>
      </c>
      <c r="I192" s="31" t="s">
        <v>18</v>
      </c>
      <c r="J192" s="29">
        <v>4</v>
      </c>
      <c r="K192" s="33">
        <v>2.8</v>
      </c>
      <c r="L192" s="31">
        <v>973.29</v>
      </c>
      <c r="M192" s="29" t="str">
        <f t="shared" si="8"/>
        <v>Jul-22</v>
      </c>
      <c r="N192" s="29" t="str">
        <f t="shared" si="9"/>
        <v>OK</v>
      </c>
      <c r="O192" s="29" t="str">
        <f t="shared" si="10"/>
        <v>Standard</v>
      </c>
      <c r="P192" s="29" t="str">
        <f t="shared" si="11"/>
        <v>Average</v>
      </c>
      <c r="Q192" s="29" t="s">
        <v>207</v>
      </c>
      <c r="R192" s="29" t="s">
        <v>35</v>
      </c>
    </row>
    <row r="193" spans="1:18">
      <c r="A193" s="29">
        <v>10192</v>
      </c>
      <c r="B193" s="30">
        <v>44753</v>
      </c>
      <c r="C193" s="29">
        <v>1891</v>
      </c>
      <c r="D193" s="29" t="s">
        <v>19</v>
      </c>
      <c r="E193" s="29" t="s">
        <v>13</v>
      </c>
      <c r="F193" s="29">
        <v>4</v>
      </c>
      <c r="G193" s="31">
        <v>582.18</v>
      </c>
      <c r="H193" s="32">
        <v>0.15</v>
      </c>
      <c r="I193" s="31" t="s">
        <v>18</v>
      </c>
      <c r="J193" s="29">
        <v>6</v>
      </c>
      <c r="K193" s="33">
        <v>3.1</v>
      </c>
      <c r="L193" s="31">
        <v>1979.41</v>
      </c>
      <c r="M193" s="29" t="str">
        <f t="shared" si="8"/>
        <v>Jul-22</v>
      </c>
      <c r="N193" s="29" t="str">
        <f t="shared" si="9"/>
        <v>OK</v>
      </c>
      <c r="O193" s="29" t="str">
        <f t="shared" si="10"/>
        <v>Standard</v>
      </c>
      <c r="P193" s="29" t="str">
        <f t="shared" si="11"/>
        <v>Average</v>
      </c>
      <c r="Q193" s="29" t="s">
        <v>208</v>
      </c>
      <c r="R193" s="29" t="s">
        <v>35</v>
      </c>
    </row>
    <row r="194" spans="1:18">
      <c r="A194" s="29">
        <v>10193</v>
      </c>
      <c r="B194" s="30">
        <v>44754</v>
      </c>
      <c r="C194" s="29">
        <v>1460</v>
      </c>
      <c r="D194" s="29" t="s">
        <v>19</v>
      </c>
      <c r="E194" s="29" t="s">
        <v>21</v>
      </c>
      <c r="F194" s="29">
        <v>1</v>
      </c>
      <c r="G194" s="31">
        <v>116.58</v>
      </c>
      <c r="H194" s="32">
        <v>0.06</v>
      </c>
      <c r="I194" s="31" t="s">
        <v>16</v>
      </c>
      <c r="J194" s="29">
        <v>5</v>
      </c>
      <c r="K194" s="33">
        <v>4.3</v>
      </c>
      <c r="L194" s="31">
        <v>109.59</v>
      </c>
      <c r="M194" s="29" t="str">
        <f t="shared" ref="M194:M210" si="12">TEXT(B194,"mmm-yy")</f>
        <v>Jul-22</v>
      </c>
      <c r="N194" s="29" t="str">
        <f t="shared" ref="N194:N210" si="13">IF(ROUND(L194,2)=ROUND(F194*G194*(1-H194),2),"OK","Check")</f>
        <v>OK</v>
      </c>
      <c r="O194" s="29" t="str">
        <f t="shared" ref="O194:O210" si="14">IF(J194&lt;=3,"Fast",IF(J194&lt;=7,"Standard","Delayed"))</f>
        <v>Standard</v>
      </c>
      <c r="P194" s="29" t="str">
        <f t="shared" ref="P194:P210" si="15">IF(K194&gt;=4.5,"Excellent",IF(K194&gt;=3.5,"Good",IF(K194&gt;=2.5,"Average","Low")))</f>
        <v>Good</v>
      </c>
      <c r="Q194" s="29" t="s">
        <v>209</v>
      </c>
      <c r="R194" s="29" t="s">
        <v>35</v>
      </c>
    </row>
    <row r="195" spans="1:18">
      <c r="A195" s="29">
        <v>10194</v>
      </c>
      <c r="B195" s="30">
        <v>44755</v>
      </c>
      <c r="C195" s="29">
        <v>1690</v>
      </c>
      <c r="D195" s="29" t="s">
        <v>15</v>
      </c>
      <c r="E195" s="29" t="s">
        <v>17</v>
      </c>
      <c r="F195" s="29">
        <v>7</v>
      </c>
      <c r="G195" s="31">
        <v>145.46</v>
      </c>
      <c r="H195" s="32">
        <v>0.18</v>
      </c>
      <c r="I195" s="31" t="s">
        <v>16</v>
      </c>
      <c r="J195" s="29">
        <v>2</v>
      </c>
      <c r="K195" s="33">
        <v>2.9</v>
      </c>
      <c r="L195" s="31">
        <v>834.94</v>
      </c>
      <c r="M195" s="29" t="str">
        <f t="shared" si="12"/>
        <v>Jul-22</v>
      </c>
      <c r="N195" s="29" t="str">
        <f t="shared" si="13"/>
        <v>OK</v>
      </c>
      <c r="O195" s="29" t="str">
        <f t="shared" si="14"/>
        <v>Fast</v>
      </c>
      <c r="P195" s="29" t="str">
        <f t="shared" si="15"/>
        <v>Average</v>
      </c>
      <c r="Q195" s="29" t="s">
        <v>210</v>
      </c>
      <c r="R195" s="29" t="s">
        <v>32</v>
      </c>
    </row>
    <row r="196" spans="1:18">
      <c r="A196" s="29">
        <v>10195</v>
      </c>
      <c r="B196" s="30">
        <v>44756</v>
      </c>
      <c r="C196" s="29">
        <v>1574</v>
      </c>
      <c r="D196" s="29" t="s">
        <v>15</v>
      </c>
      <c r="E196" s="29" t="s">
        <v>20</v>
      </c>
      <c r="F196" s="29">
        <v>6</v>
      </c>
      <c r="G196" s="31">
        <v>322.49</v>
      </c>
      <c r="H196" s="32">
        <v>0.03</v>
      </c>
      <c r="I196" s="31" t="s">
        <v>16</v>
      </c>
      <c r="J196" s="29">
        <v>2</v>
      </c>
      <c r="K196" s="33">
        <v>3.2</v>
      </c>
      <c r="L196" s="31">
        <v>1876.89</v>
      </c>
      <c r="M196" s="29" t="str">
        <f t="shared" si="12"/>
        <v>Jul-22</v>
      </c>
      <c r="N196" s="29" t="str">
        <f t="shared" si="13"/>
        <v>OK</v>
      </c>
      <c r="O196" s="29" t="str">
        <f t="shared" si="14"/>
        <v>Fast</v>
      </c>
      <c r="P196" s="29" t="str">
        <f t="shared" si="15"/>
        <v>Average</v>
      </c>
      <c r="Q196" s="29" t="s">
        <v>211</v>
      </c>
      <c r="R196" s="29" t="s">
        <v>32</v>
      </c>
    </row>
    <row r="197" spans="1:18">
      <c r="A197" s="29">
        <v>10196</v>
      </c>
      <c r="B197" s="30">
        <v>44757</v>
      </c>
      <c r="C197" s="29">
        <v>1863</v>
      </c>
      <c r="D197" s="29" t="s">
        <v>19</v>
      </c>
      <c r="E197" s="29" t="s">
        <v>21</v>
      </c>
      <c r="F197" s="29">
        <v>7</v>
      </c>
      <c r="G197" s="31">
        <v>68.38</v>
      </c>
      <c r="H197" s="32">
        <v>0.02</v>
      </c>
      <c r="I197" s="31" t="s">
        <v>14</v>
      </c>
      <c r="J197" s="29">
        <v>3</v>
      </c>
      <c r="K197" s="33">
        <v>4.4</v>
      </c>
      <c r="L197" s="31">
        <v>469.09</v>
      </c>
      <c r="M197" s="29" t="str">
        <f t="shared" si="12"/>
        <v>Jul-22</v>
      </c>
      <c r="N197" s="29" t="str">
        <f t="shared" si="13"/>
        <v>OK</v>
      </c>
      <c r="O197" s="29" t="str">
        <f t="shared" si="14"/>
        <v>Fast</v>
      </c>
      <c r="P197" s="29" t="str">
        <f t="shared" si="15"/>
        <v>Good</v>
      </c>
      <c r="Q197" s="29" t="s">
        <v>212</v>
      </c>
      <c r="R197" s="29" t="s">
        <v>35</v>
      </c>
    </row>
    <row r="198" spans="1:18">
      <c r="A198" s="29">
        <v>10197</v>
      </c>
      <c r="B198" s="30">
        <v>44758</v>
      </c>
      <c r="C198" s="29">
        <v>1742</v>
      </c>
      <c r="D198" s="29" t="s">
        <v>12</v>
      </c>
      <c r="E198" s="29" t="s">
        <v>13</v>
      </c>
      <c r="F198" s="29">
        <v>4</v>
      </c>
      <c r="G198" s="31">
        <v>270.32</v>
      </c>
      <c r="H198" s="32">
        <v>0.18</v>
      </c>
      <c r="I198" s="31" t="s">
        <v>14</v>
      </c>
      <c r="J198" s="29">
        <v>11</v>
      </c>
      <c r="K198" s="33">
        <v>2.7</v>
      </c>
      <c r="L198" s="31">
        <v>886.65</v>
      </c>
      <c r="M198" s="29" t="str">
        <f t="shared" si="12"/>
        <v>Jul-22</v>
      </c>
      <c r="N198" s="29" t="str">
        <f t="shared" si="13"/>
        <v>OK</v>
      </c>
      <c r="O198" s="29" t="str">
        <f t="shared" si="14"/>
        <v>Delayed</v>
      </c>
      <c r="P198" s="29" t="str">
        <f t="shared" si="15"/>
        <v>Average</v>
      </c>
      <c r="Q198" s="29" t="s">
        <v>213</v>
      </c>
      <c r="R198" s="29" t="s">
        <v>30</v>
      </c>
    </row>
    <row r="199" spans="1:18">
      <c r="A199" s="29">
        <v>10198</v>
      </c>
      <c r="B199" s="30">
        <v>44759</v>
      </c>
      <c r="C199" s="29">
        <v>1240</v>
      </c>
      <c r="D199" s="29" t="s">
        <v>15</v>
      </c>
      <c r="E199" s="29" t="s">
        <v>13</v>
      </c>
      <c r="F199" s="29">
        <v>3</v>
      </c>
      <c r="G199" s="31">
        <v>355.35</v>
      </c>
      <c r="H199" s="32">
        <v>0.09</v>
      </c>
      <c r="I199" s="31" t="s">
        <v>14</v>
      </c>
      <c r="J199" s="29">
        <v>6</v>
      </c>
      <c r="K199" s="33">
        <v>1.3</v>
      </c>
      <c r="L199" s="31">
        <v>970.11</v>
      </c>
      <c r="M199" s="29" t="str">
        <f t="shared" si="12"/>
        <v>Jul-22</v>
      </c>
      <c r="N199" s="29" t="str">
        <f t="shared" si="13"/>
        <v>OK</v>
      </c>
      <c r="O199" s="29" t="str">
        <f t="shared" si="14"/>
        <v>Standard</v>
      </c>
      <c r="P199" s="29" t="str">
        <f t="shared" si="15"/>
        <v>Low</v>
      </c>
      <c r="Q199" s="29" t="s">
        <v>214</v>
      </c>
      <c r="R199" s="29" t="s">
        <v>32</v>
      </c>
    </row>
    <row r="200" spans="1:18">
      <c r="A200" s="29">
        <v>10199</v>
      </c>
      <c r="B200" s="30">
        <v>44760</v>
      </c>
      <c r="C200" s="29">
        <v>1563</v>
      </c>
      <c r="D200" s="29" t="s">
        <v>19</v>
      </c>
      <c r="E200" s="29" t="s">
        <v>20</v>
      </c>
      <c r="F200" s="29">
        <v>3</v>
      </c>
      <c r="G200" s="31">
        <v>320.41</v>
      </c>
      <c r="H200" s="32">
        <v>0.03</v>
      </c>
      <c r="I200" s="31" t="s">
        <v>16</v>
      </c>
      <c r="J200" s="29">
        <v>1</v>
      </c>
      <c r="K200" s="33">
        <v>3.1</v>
      </c>
      <c r="L200" s="31">
        <v>932.39</v>
      </c>
      <c r="M200" s="29" t="str">
        <f t="shared" si="12"/>
        <v>Jul-22</v>
      </c>
      <c r="N200" s="29" t="str">
        <f t="shared" si="13"/>
        <v>OK</v>
      </c>
      <c r="O200" s="29" t="str">
        <f t="shared" si="14"/>
        <v>Fast</v>
      </c>
      <c r="P200" s="29" t="str">
        <f t="shared" si="15"/>
        <v>Average</v>
      </c>
      <c r="Q200" s="29" t="s">
        <v>215</v>
      </c>
      <c r="R200" s="29" t="s">
        <v>35</v>
      </c>
    </row>
    <row r="201" spans="1:18">
      <c r="A201" s="29">
        <v>10200</v>
      </c>
      <c r="B201" s="30">
        <v>44761</v>
      </c>
      <c r="C201" s="29">
        <v>1095</v>
      </c>
      <c r="D201" s="29" t="s">
        <v>15</v>
      </c>
      <c r="E201" s="29" t="s">
        <v>21</v>
      </c>
      <c r="F201" s="29">
        <v>7</v>
      </c>
      <c r="G201" s="31">
        <v>208.58</v>
      </c>
      <c r="H201" s="32">
        <v>0.15</v>
      </c>
      <c r="I201" s="31" t="s">
        <v>18</v>
      </c>
      <c r="J201" s="29">
        <v>11</v>
      </c>
      <c r="K201" s="33">
        <v>3.3</v>
      </c>
      <c r="L201" s="31">
        <v>1241.05</v>
      </c>
      <c r="M201" s="29" t="str">
        <f t="shared" si="12"/>
        <v>Jul-22</v>
      </c>
      <c r="N201" s="29" t="str">
        <f t="shared" si="13"/>
        <v>OK</v>
      </c>
      <c r="O201" s="29" t="str">
        <f t="shared" si="14"/>
        <v>Delayed</v>
      </c>
      <c r="P201" s="29" t="str">
        <f t="shared" si="15"/>
        <v>Average</v>
      </c>
      <c r="Q201" s="29" t="s">
        <v>216</v>
      </c>
      <c r="R201" s="29" t="s">
        <v>32</v>
      </c>
    </row>
    <row r="202" spans="1:18">
      <c r="A202" s="29">
        <v>10201</v>
      </c>
      <c r="B202" s="30">
        <v>44762</v>
      </c>
      <c r="C202" s="29">
        <v>1899</v>
      </c>
      <c r="D202" s="29" t="s">
        <v>22</v>
      </c>
      <c r="E202" s="29" t="s">
        <v>17</v>
      </c>
      <c r="F202" s="29">
        <v>4</v>
      </c>
      <c r="G202" s="31">
        <v>332.33</v>
      </c>
      <c r="H202" s="32">
        <v>0.32</v>
      </c>
      <c r="I202" s="31" t="s">
        <v>18</v>
      </c>
      <c r="J202" s="29">
        <v>7</v>
      </c>
      <c r="K202" s="33">
        <v>3</v>
      </c>
      <c r="L202" s="31">
        <v>903.94</v>
      </c>
      <c r="M202" s="29" t="str">
        <f t="shared" si="12"/>
        <v>Jul-22</v>
      </c>
      <c r="N202" s="29" t="str">
        <f t="shared" si="13"/>
        <v>OK</v>
      </c>
      <c r="O202" s="29" t="str">
        <f t="shared" si="14"/>
        <v>Standard</v>
      </c>
      <c r="P202" s="29" t="str">
        <f t="shared" si="15"/>
        <v>Average</v>
      </c>
      <c r="Q202" s="29" t="s">
        <v>217</v>
      </c>
      <c r="R202" s="29" t="s">
        <v>51</v>
      </c>
    </row>
    <row r="203" spans="1:18">
      <c r="A203" s="29">
        <v>10202</v>
      </c>
      <c r="B203" s="30">
        <v>44763</v>
      </c>
      <c r="C203" s="29">
        <v>1733</v>
      </c>
      <c r="D203" s="29" t="s">
        <v>19</v>
      </c>
      <c r="E203" s="29" t="s">
        <v>21</v>
      </c>
      <c r="F203" s="29">
        <v>7</v>
      </c>
      <c r="G203" s="31">
        <v>575.9</v>
      </c>
      <c r="H203" s="32">
        <v>0.25</v>
      </c>
      <c r="I203" s="31" t="s">
        <v>18</v>
      </c>
      <c r="J203" s="29">
        <v>8</v>
      </c>
      <c r="K203" s="33">
        <v>2</v>
      </c>
      <c r="L203" s="31">
        <v>3023.48</v>
      </c>
      <c r="M203" s="29" t="str">
        <f t="shared" si="12"/>
        <v>Jul-22</v>
      </c>
      <c r="N203" s="29" t="str">
        <f t="shared" si="13"/>
        <v>OK</v>
      </c>
      <c r="O203" s="29" t="str">
        <f t="shared" si="14"/>
        <v>Delayed</v>
      </c>
      <c r="P203" s="29" t="str">
        <f t="shared" si="15"/>
        <v>Low</v>
      </c>
      <c r="Q203" s="29" t="s">
        <v>218</v>
      </c>
      <c r="R203" s="29" t="s">
        <v>35</v>
      </c>
    </row>
    <row r="204" spans="1:18">
      <c r="A204" s="29">
        <v>10203</v>
      </c>
      <c r="B204" s="30">
        <v>44764</v>
      </c>
      <c r="C204" s="29">
        <v>1484</v>
      </c>
      <c r="D204" s="29" t="s">
        <v>19</v>
      </c>
      <c r="E204" s="29" t="s">
        <v>21</v>
      </c>
      <c r="F204" s="29">
        <v>1</v>
      </c>
      <c r="G204" s="31">
        <v>135.52</v>
      </c>
      <c r="H204" s="32">
        <v>0.29</v>
      </c>
      <c r="I204" s="31" t="s">
        <v>18</v>
      </c>
      <c r="J204" s="29">
        <v>7</v>
      </c>
      <c r="K204" s="33">
        <v>1.9</v>
      </c>
      <c r="L204" s="31">
        <v>96.22</v>
      </c>
      <c r="M204" s="29" t="str">
        <f t="shared" si="12"/>
        <v>Jul-22</v>
      </c>
      <c r="N204" s="29" t="str">
        <f t="shared" si="13"/>
        <v>OK</v>
      </c>
      <c r="O204" s="29" t="str">
        <f t="shared" si="14"/>
        <v>Standard</v>
      </c>
      <c r="P204" s="29" t="str">
        <f t="shared" si="15"/>
        <v>Low</v>
      </c>
      <c r="Q204" s="29" t="s">
        <v>89</v>
      </c>
      <c r="R204" s="29" t="s">
        <v>35</v>
      </c>
    </row>
    <row r="205" spans="1:18">
      <c r="A205" s="29">
        <v>10204</v>
      </c>
      <c r="B205" s="30">
        <v>44765</v>
      </c>
      <c r="C205" s="29">
        <v>1406</v>
      </c>
      <c r="D205" s="29" t="s">
        <v>22</v>
      </c>
      <c r="E205" s="29" t="s">
        <v>20</v>
      </c>
      <c r="F205" s="29">
        <v>1</v>
      </c>
      <c r="G205" s="31">
        <v>398.08</v>
      </c>
      <c r="H205" s="32">
        <v>0.31</v>
      </c>
      <c r="I205" s="31" t="s">
        <v>18</v>
      </c>
      <c r="J205" s="29">
        <v>11</v>
      </c>
      <c r="K205" s="33">
        <v>2.5</v>
      </c>
      <c r="L205" s="31">
        <v>274.68</v>
      </c>
      <c r="M205" s="29" t="str">
        <f t="shared" si="12"/>
        <v>Jul-22</v>
      </c>
      <c r="N205" s="29" t="str">
        <f t="shared" si="13"/>
        <v>OK</v>
      </c>
      <c r="O205" s="29" t="str">
        <f t="shared" si="14"/>
        <v>Delayed</v>
      </c>
      <c r="P205" s="29" t="str">
        <f t="shared" si="15"/>
        <v>Average</v>
      </c>
      <c r="Q205" s="29" t="s">
        <v>184</v>
      </c>
      <c r="R205" s="29" t="s">
        <v>51</v>
      </c>
    </row>
    <row r="206" spans="1:18">
      <c r="A206" s="29">
        <v>10205</v>
      </c>
      <c r="B206" s="30">
        <v>44766</v>
      </c>
      <c r="C206" s="29">
        <v>1230</v>
      </c>
      <c r="D206" s="29" t="s">
        <v>15</v>
      </c>
      <c r="E206" s="29" t="s">
        <v>21</v>
      </c>
      <c r="F206" s="29">
        <v>5</v>
      </c>
      <c r="G206" s="31">
        <v>40.39</v>
      </c>
      <c r="H206" s="32">
        <v>0.34</v>
      </c>
      <c r="I206" s="31" t="s">
        <v>16</v>
      </c>
      <c r="J206" s="29">
        <v>3</v>
      </c>
      <c r="K206" s="33">
        <v>1.7</v>
      </c>
      <c r="L206" s="31">
        <v>133.29</v>
      </c>
      <c r="M206" s="29" t="str">
        <f t="shared" si="12"/>
        <v>Jul-22</v>
      </c>
      <c r="N206" s="29" t="str">
        <f t="shared" si="13"/>
        <v>OK</v>
      </c>
      <c r="O206" s="29" t="str">
        <f t="shared" si="14"/>
        <v>Fast</v>
      </c>
      <c r="P206" s="29" t="str">
        <f t="shared" si="15"/>
        <v>Low</v>
      </c>
      <c r="Q206" s="29" t="s">
        <v>174</v>
      </c>
      <c r="R206" s="29" t="s">
        <v>32</v>
      </c>
    </row>
    <row r="207" spans="1:18">
      <c r="A207" s="29">
        <v>10206</v>
      </c>
      <c r="B207" s="30">
        <v>44767</v>
      </c>
      <c r="C207" s="29">
        <v>1748</v>
      </c>
      <c r="D207" s="29" t="s">
        <v>15</v>
      </c>
      <c r="E207" s="29" t="s">
        <v>17</v>
      </c>
      <c r="F207" s="29">
        <v>2</v>
      </c>
      <c r="G207" s="31">
        <v>53.85</v>
      </c>
      <c r="H207" s="32">
        <v>0.27</v>
      </c>
      <c r="I207" s="31" t="s">
        <v>16</v>
      </c>
      <c r="J207" s="29">
        <v>6</v>
      </c>
      <c r="K207" s="33">
        <v>3.7</v>
      </c>
      <c r="L207" s="31">
        <v>78.62</v>
      </c>
      <c r="M207" s="29" t="str">
        <f t="shared" si="12"/>
        <v>Jul-22</v>
      </c>
      <c r="N207" s="29" t="str">
        <f t="shared" si="13"/>
        <v>OK</v>
      </c>
      <c r="O207" s="29" t="str">
        <f t="shared" si="14"/>
        <v>Standard</v>
      </c>
      <c r="P207" s="29" t="str">
        <f t="shared" si="15"/>
        <v>Good</v>
      </c>
      <c r="Q207" s="29" t="s">
        <v>142</v>
      </c>
      <c r="R207" s="29" t="s">
        <v>32</v>
      </c>
    </row>
    <row r="208" spans="1:18">
      <c r="A208" s="29">
        <v>10207</v>
      </c>
      <c r="B208" s="30">
        <v>44768</v>
      </c>
      <c r="C208" s="29">
        <v>1654</v>
      </c>
      <c r="D208" s="29" t="s">
        <v>15</v>
      </c>
      <c r="E208" s="29" t="s">
        <v>13</v>
      </c>
      <c r="F208" s="29">
        <v>5</v>
      </c>
      <c r="G208" s="31">
        <v>337.82</v>
      </c>
      <c r="H208" s="32">
        <v>0.21</v>
      </c>
      <c r="I208" s="31" t="s">
        <v>16</v>
      </c>
      <c r="J208" s="29">
        <v>4</v>
      </c>
      <c r="K208" s="33">
        <v>3.5</v>
      </c>
      <c r="L208" s="31">
        <v>1334.39</v>
      </c>
      <c r="M208" s="29" t="str">
        <f t="shared" si="12"/>
        <v>Jul-22</v>
      </c>
      <c r="N208" s="29" t="str">
        <f t="shared" si="13"/>
        <v>OK</v>
      </c>
      <c r="O208" s="29" t="str">
        <f t="shared" si="14"/>
        <v>Standard</v>
      </c>
      <c r="P208" s="29" t="str">
        <f t="shared" si="15"/>
        <v>Good</v>
      </c>
      <c r="Q208" s="29" t="s">
        <v>219</v>
      </c>
      <c r="R208" s="29" t="s">
        <v>32</v>
      </c>
    </row>
    <row r="209" spans="1:18">
      <c r="A209" s="29">
        <v>10208</v>
      </c>
      <c r="B209" s="30">
        <v>44769</v>
      </c>
      <c r="C209" s="29">
        <v>1170</v>
      </c>
      <c r="D209" s="29" t="s">
        <v>19</v>
      </c>
      <c r="E209" s="29" t="s">
        <v>20</v>
      </c>
      <c r="F209" s="29">
        <v>1</v>
      </c>
      <c r="G209" s="31">
        <v>76.39</v>
      </c>
      <c r="H209" s="32">
        <v>0.13</v>
      </c>
      <c r="I209" s="31" t="s">
        <v>16</v>
      </c>
      <c r="J209" s="29">
        <v>5</v>
      </c>
      <c r="K209" s="33">
        <v>3.5</v>
      </c>
      <c r="L209" s="31">
        <v>66.46</v>
      </c>
      <c r="M209" s="29" t="str">
        <f t="shared" si="12"/>
        <v>Jul-22</v>
      </c>
      <c r="N209" s="29" t="str">
        <f t="shared" si="13"/>
        <v>OK</v>
      </c>
      <c r="O209" s="29" t="str">
        <f t="shared" si="14"/>
        <v>Standard</v>
      </c>
      <c r="P209" s="29" t="str">
        <f t="shared" si="15"/>
        <v>Good</v>
      </c>
      <c r="Q209" s="29" t="s">
        <v>220</v>
      </c>
      <c r="R209" s="29" t="s">
        <v>35</v>
      </c>
    </row>
    <row r="210" spans="1:18">
      <c r="A210" s="29">
        <v>10209</v>
      </c>
      <c r="B210" s="30">
        <v>44770</v>
      </c>
      <c r="C210" s="29">
        <v>1540</v>
      </c>
      <c r="D210" s="29" t="s">
        <v>19</v>
      </c>
      <c r="E210" s="29" t="s">
        <v>17</v>
      </c>
      <c r="F210" s="29">
        <v>4</v>
      </c>
      <c r="G210" s="31">
        <v>28.07</v>
      </c>
      <c r="H210" s="32">
        <v>0.06</v>
      </c>
      <c r="I210" s="31" t="s">
        <v>16</v>
      </c>
      <c r="J210" s="29">
        <v>3</v>
      </c>
      <c r="K210" s="33">
        <v>1.9</v>
      </c>
      <c r="L210" s="31">
        <v>105.54</v>
      </c>
      <c r="M210" s="29" t="str">
        <f t="shared" si="12"/>
        <v>Jul-22</v>
      </c>
      <c r="N210" s="29" t="str">
        <f t="shared" si="13"/>
        <v>OK</v>
      </c>
      <c r="O210" s="29" t="str">
        <f t="shared" si="14"/>
        <v>Fast</v>
      </c>
      <c r="P210" s="29" t="str">
        <f t="shared" si="15"/>
        <v>Low</v>
      </c>
      <c r="Q210" s="29" t="s">
        <v>221</v>
      </c>
      <c r="R210" s="29" t="s">
        <v>35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20" sqref="L20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17"/>
  <sheetViews>
    <sheetView tabSelected="1" workbookViewId="0">
      <selection activeCell="E13" sqref="E13"/>
    </sheetView>
  </sheetViews>
  <sheetFormatPr defaultColWidth="9" defaultRowHeight="14.4"/>
  <cols>
    <col min="1" max="1" width="12.5555555555556" customWidth="1"/>
    <col min="2" max="2" width="14.4444444444444" customWidth="1"/>
    <col min="3" max="3" width="19.2222222222222" customWidth="1"/>
    <col min="4" max="4" width="16" customWidth="1"/>
    <col min="5" max="5" width="18.1111111111111" customWidth="1"/>
  </cols>
  <sheetData>
    <row r="3" spans="1:4">
      <c r="A3" t="s">
        <v>222</v>
      </c>
      <c r="B3" t="s">
        <v>223</v>
      </c>
      <c r="C3" t="s">
        <v>224</v>
      </c>
      <c r="D3" t="s">
        <v>225</v>
      </c>
    </row>
    <row r="4" spans="1:4">
      <c r="A4" s="27" t="s">
        <v>12</v>
      </c>
      <c r="B4">
        <v>752.69</v>
      </c>
      <c r="C4">
        <v>5</v>
      </c>
      <c r="D4">
        <v>418.16</v>
      </c>
    </row>
    <row r="5" spans="1:4">
      <c r="A5" s="27" t="s">
        <v>15</v>
      </c>
      <c r="B5">
        <v>7377.17</v>
      </c>
      <c r="C5">
        <v>37</v>
      </c>
      <c r="D5">
        <v>2046.78</v>
      </c>
    </row>
    <row r="6" spans="1:4">
      <c r="A6" s="27" t="s">
        <v>19</v>
      </c>
      <c r="B6">
        <v>6604.48</v>
      </c>
      <c r="C6">
        <v>40</v>
      </c>
      <c r="D6">
        <v>1783.91</v>
      </c>
    </row>
    <row r="7" spans="1:4">
      <c r="A7" s="27" t="s">
        <v>22</v>
      </c>
      <c r="B7">
        <v>5512.01</v>
      </c>
      <c r="C7">
        <v>18</v>
      </c>
      <c r="D7">
        <v>1103.41</v>
      </c>
    </row>
    <row r="8" spans="1:4">
      <c r="A8" s="27" t="s">
        <v>226</v>
      </c>
      <c r="B8">
        <v>20246.35</v>
      </c>
      <c r="C8">
        <v>100</v>
      </c>
      <c r="D8">
        <v>5352.26</v>
      </c>
    </row>
    <row r="17" spans="13:13">
      <c r="M17">
        <v>4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opLeftCell="A11" workbookViewId="0">
      <selection activeCell="V19" sqref="V19"/>
    </sheetView>
  </sheetViews>
  <sheetFormatPr defaultColWidth="9" defaultRowHeight="14.4" outlineLevelRow="4"/>
  <cols>
    <col min="1" max="1" width="6.77777777777778" customWidth="1"/>
    <col min="2" max="2" width="9.22222222222222" customWidth="1"/>
    <col min="3" max="3" width="8.88888888888889" customWidth="1"/>
    <col min="4" max="4" width="8.33333333333333" customWidth="1"/>
    <col min="12" max="12" width="13.4444444444444" customWidth="1"/>
    <col min="15" max="15" width="8.88888888888889" customWidth="1"/>
    <col min="16" max="16" width="7" customWidth="1"/>
  </cols>
  <sheetData>
    <row r="1" ht="22.8" spans="1:20">
      <c r="A1" s="3" t="s">
        <v>227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</row>
    <row r="2" spans="1:20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20">
      <c r="B3" s="6" t="s">
        <v>228</v>
      </c>
      <c r="C3" s="7"/>
      <c r="D3" s="8"/>
      <c r="F3" s="6" t="s">
        <v>229</v>
      </c>
      <c r="G3" s="7"/>
      <c r="H3" s="8"/>
      <c r="J3" s="6" t="s">
        <v>230</v>
      </c>
      <c r="K3" s="7"/>
      <c r="L3" s="8"/>
      <c r="N3" s="6" t="s">
        <v>231</v>
      </c>
      <c r="O3" s="7"/>
      <c r="P3" s="8"/>
      <c r="R3" s="6" t="s">
        <v>232</v>
      </c>
      <c r="S3" s="7"/>
      <c r="T3" s="8"/>
    </row>
    <row r="4" spans="1:20">
      <c r="B4" s="9">
        <v>223923.28</v>
      </c>
      <c r="C4" s="10"/>
      <c r="D4" s="11"/>
      <c r="F4" s="12">
        <v>209</v>
      </c>
      <c r="G4" s="13"/>
      <c r="H4" s="14"/>
      <c r="J4" s="12">
        <v>866</v>
      </c>
      <c r="K4" s="13"/>
      <c r="L4" s="14"/>
      <c r="N4" s="15">
        <v>2.9622009569378</v>
      </c>
      <c r="O4" s="16"/>
      <c r="P4" s="17"/>
      <c r="R4" s="15">
        <v>5.99521531100478</v>
      </c>
      <c r="S4" s="16"/>
      <c r="T4" s="17"/>
    </row>
    <row r="5" spans="1:20">
      <c r="B5" s="18"/>
      <c r="C5" s="19"/>
      <c r="D5" s="20"/>
      <c r="F5" s="21"/>
      <c r="G5" s="22"/>
      <c r="H5" s="23"/>
      <c r="J5" s="21"/>
      <c r="K5" s="22"/>
      <c r="L5" s="23"/>
      <c r="N5" s="24"/>
      <c r="O5" s="25"/>
      <c r="P5" s="26"/>
      <c r="R5" s="24"/>
      <c r="S5" s="25"/>
      <c r="T5" s="26"/>
    </row>
  </sheetData>
  <mergeCells count="11">
    <mergeCell ref="A1:L1"/>
    <mergeCell ref="B3:D3"/>
    <mergeCell ref="F3:H3"/>
    <mergeCell ref="J3:L3"/>
    <mergeCell ref="N3:P3"/>
    <mergeCell ref="R3:T3"/>
    <mergeCell ref="F4:H5"/>
    <mergeCell ref="R4:T5"/>
    <mergeCell ref="B4:D5"/>
    <mergeCell ref="N4:P5"/>
    <mergeCell ref="J4:L5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opLeftCell="A10" workbookViewId="0">
      <selection activeCell="A14" sqref="A14"/>
    </sheetView>
  </sheetViews>
  <sheetFormatPr defaultColWidth="9" defaultRowHeight="14.4" outlineLevelCol="3"/>
  <cols>
    <col min="2" max="2" width="17.1111111111111" customWidth="1"/>
    <col min="3" max="3" width="28.1111111111111" customWidth="1"/>
    <col min="4" max="4" width="17.4444444444444" customWidth="1"/>
  </cols>
  <sheetData>
    <row r="1" spans="1:4">
      <c r="A1" s="1" t="s">
        <v>233</v>
      </c>
      <c r="B1" s="1" t="s">
        <v>234</v>
      </c>
      <c r="C1" s="1" t="s">
        <v>235</v>
      </c>
      <c r="D1" s="1" t="s">
        <v>236</v>
      </c>
    </row>
    <row r="2" ht="48.6" customHeight="1" spans="1:4">
      <c r="A2" s="2">
        <v>1</v>
      </c>
      <c r="B2" s="2" t="s">
        <v>237</v>
      </c>
      <c r="C2" s="2" t="s">
        <v>238</v>
      </c>
      <c r="D2" s="2" t="s">
        <v>239</v>
      </c>
    </row>
    <row r="3" ht="54.6" customHeight="1" spans="1:4">
      <c r="A3" s="2">
        <v>2</v>
      </c>
      <c r="B3" s="2" t="s">
        <v>240</v>
      </c>
      <c r="C3" s="2" t="s">
        <v>241</v>
      </c>
      <c r="D3" s="2" t="s">
        <v>242</v>
      </c>
    </row>
    <row r="4" ht="48.6" customHeight="1" spans="1:4">
      <c r="A4" s="2">
        <v>3</v>
      </c>
      <c r="B4" s="2" t="s">
        <v>243</v>
      </c>
      <c r="C4" s="2" t="s">
        <v>244</v>
      </c>
      <c r="D4" s="2" t="s">
        <v>239</v>
      </c>
    </row>
    <row r="5" spans="1:4">
      <c r="A5" s="2">
        <v>4</v>
      </c>
      <c r="B5" s="2" t="s">
        <v>245</v>
      </c>
      <c r="C5" s="2" t="s">
        <v>246</v>
      </c>
      <c r="D5" s="2" t="s">
        <v>239</v>
      </c>
    </row>
    <row r="6" ht="45.6" customHeight="1" spans="1:4">
      <c r="A6" s="2">
        <v>5</v>
      </c>
      <c r="B6" s="2" t="s">
        <v>247</v>
      </c>
      <c r="C6" s="2" t="s">
        <v>248</v>
      </c>
      <c r="D6" s="2" t="s">
        <v>239</v>
      </c>
    </row>
    <row r="7" ht="28.8" spans="1:4">
      <c r="A7" s="2">
        <v>6</v>
      </c>
      <c r="B7" s="2" t="s">
        <v>249</v>
      </c>
      <c r="C7" s="2" t="s">
        <v>250</v>
      </c>
      <c r="D7" s="2" t="s">
        <v>251</v>
      </c>
    </row>
    <row r="8" ht="51" customHeight="1" spans="1:4">
      <c r="A8" s="2">
        <v>7</v>
      </c>
      <c r="B8" s="2" t="s">
        <v>252</v>
      </c>
      <c r="C8" s="2" t="s">
        <v>253</v>
      </c>
      <c r="D8" s="2" t="s">
        <v>251</v>
      </c>
    </row>
    <row r="9" ht="54.6" customHeight="1" spans="1:4">
      <c r="A9" s="2">
        <v>8</v>
      </c>
      <c r="B9" s="2" t="s">
        <v>254</v>
      </c>
      <c r="C9" s="2" t="s">
        <v>255</v>
      </c>
      <c r="D9" s="2" t="s">
        <v>256</v>
      </c>
    </row>
    <row r="10" spans="1:4">
      <c r="A10" s="2">
        <v>9</v>
      </c>
      <c r="B10" s="2" t="s">
        <v>242</v>
      </c>
      <c r="C10" s="2" t="s">
        <v>257</v>
      </c>
      <c r="D10" s="2" t="s">
        <v>242</v>
      </c>
    </row>
    <row r="11" spans="1:4">
      <c r="A11" s="2">
        <v>10</v>
      </c>
      <c r="B11" s="2" t="s">
        <v>258</v>
      </c>
      <c r="C11" s="2" t="s">
        <v>259</v>
      </c>
      <c r="D11" s="2" t="s">
        <v>239</v>
      </c>
    </row>
    <row r="12" ht="56.4" customHeight="1" spans="1:4">
      <c r="A12" s="2">
        <v>11</v>
      </c>
      <c r="B12" s="2" t="s">
        <v>260</v>
      </c>
      <c r="C12" s="2" t="s">
        <v>261</v>
      </c>
      <c r="D12" s="2" t="s">
        <v>262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Raw data</vt:lpstr>
      <vt:lpstr>clean order data</vt:lpstr>
      <vt:lpstr>charts </vt:lpstr>
      <vt:lpstr>pivot table</vt:lpstr>
      <vt:lpstr>DASHBOARD</vt:lpstr>
      <vt:lpstr>documentation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Mali</dc:creator>
  <cp:lastModifiedBy>rohit</cp:lastModifiedBy>
  <dcterms:created xsi:type="dcterms:W3CDTF">2026-09-15T03:17:00Z</dcterms:created>
  <dcterms:modified xsi:type="dcterms:W3CDTF">2026-09-15T07:46:28Z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9F8A5B46556B4EE9B7AF3243F148FCCA_13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